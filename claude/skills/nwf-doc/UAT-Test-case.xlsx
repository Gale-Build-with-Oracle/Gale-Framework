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achawat\Desktop\"/>
    </mc:Choice>
  </mc:AlternateContent>
  <xr:revisionPtr revIDLastSave="0" documentId="13_ncr:1_{B8FD12D8-457A-45DB-A517-0FB35AD2532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ummary" sheetId="1" r:id="rId1"/>
    <sheet name="UAT TestCase" sheetId="2" r:id="rId2"/>
    <sheet name="DB Verification" sheetId="3" r:id="rId3"/>
  </sheets>
  <definedNames>
    <definedName name="_xlnm._FilterDatabase" localSheetId="1" hidden="1">'UAT TestCase'!$A$1:$I$72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<sst xmlns="http://schemas.openxmlformats.org/spreadsheetml/2006/main" count="694" uniqueCount="360">
  <si>
    <t>Partial Picking System v1.3.0</t>
  </si>
  <si>
    <t>Test Environment</t>
  </si>
  <si>
    <t>Database:</t>
  </si>
  <si>
    <t>Backend:</t>
  </si>
  <si>
    <t>http://192.168.0.11:7075</t>
  </si>
  <si>
    <t>Frontend:</t>
  </si>
  <si>
    <t>http://192.168.0.11:6060</t>
  </si>
  <si>
    <t>LDAP Login:</t>
  </si>
  <si>
    <t>SQL Login:</t>
  </si>
  <si>
    <t>uat1 / 1234</t>
  </si>
  <si>
    <t>Test Summary</t>
  </si>
  <si>
    <t>Category</t>
  </si>
  <si>
    <t>Tests</t>
  </si>
  <si>
    <t>Status</t>
  </si>
  <si>
    <t>Authentication</t>
  </si>
  <si>
    <t>Run Selection</t>
  </si>
  <si>
    <t>FEFO Lot Selection</t>
  </si>
  <si>
    <t>Weight Entry</t>
  </si>
  <si>
    <t>6-Phase Atomic</t>
  </si>
  <si>
    <t>Unpick Operations</t>
  </si>
  <si>
    <t>Progressive Picking</t>
  </si>
  <si>
    <t>Allergen Control</t>
  </si>
  <si>
    <t>Label Printing</t>
  </si>
  <si>
    <t>Run Completion</t>
  </si>
  <si>
    <t>WebSocket Scale</t>
  </si>
  <si>
    <t>Concurrency</t>
  </si>
  <si>
    <t>Data Integrity</t>
  </si>
  <si>
    <t>Error Handling</t>
  </si>
  <si>
    <t>Performance</t>
  </si>
  <si>
    <t>TOTAL</t>
  </si>
  <si>
    <t>Sign-Off</t>
  </si>
  <si>
    <t>Role</t>
  </si>
  <si>
    <t>Name</t>
  </si>
  <si>
    <t>Signature</t>
  </si>
  <si>
    <t>Date</t>
  </si>
  <si>
    <t>ID</t>
  </si>
  <si>
    <t>Scenario</t>
  </si>
  <si>
    <t>Steps</t>
  </si>
  <si>
    <t>Expected Result</t>
  </si>
  <si>
    <t>Result</t>
  </si>
  <si>
    <t>Tester</t>
  </si>
  <si>
    <t>Notes</t>
  </si>
  <si>
    <t>UAT-001</t>
  </si>
  <si>
    <t>LDAP Login</t>
  </si>
  <si>
    <t>Login success, redirect to main page</t>
  </si>
  <si>
    <t>UAT-002</t>
  </si>
  <si>
    <t>SQL Fallback</t>
  </si>
  <si>
    <t>1. Disconnect LDAP
2. Login uat1/1234</t>
  </si>
  <si>
    <t>Login via SQL auth</t>
  </si>
  <si>
    <t>UAT-003</t>
  </si>
  <si>
    <t>Invalid Credentials</t>
  </si>
  <si>
    <t>1. Enter wrong password
2. Click Login</t>
  </si>
  <si>
    <t>Error: Invalid credentials</t>
  </si>
  <si>
    <t>UAT-004</t>
  </si>
  <si>
    <t>Session Timeout</t>
  </si>
  <si>
    <t>1. Wait 168 hours
2. Attempt action</t>
  </si>
  <si>
    <t>Redirect to login</t>
  </si>
  <si>
    <t>UAT-005</t>
  </si>
  <si>
    <t>Token Refresh</t>
  </si>
  <si>
    <t>1. Token &lt; 1hr remaining
2. Make API call</t>
  </si>
  <si>
    <t>Token auto-refreshed</t>
  </si>
  <si>
    <t>UAT-006</t>
  </si>
  <si>
    <t>Valid Run</t>
  </si>
  <si>
    <t>1. Enter Run 227857
2. Click Search</t>
  </si>
  <si>
    <t>Predust, WFBOTP03, auto-fill</t>
  </si>
  <si>
    <t>UAT-007</t>
  </si>
  <si>
    <t>Invalid Run</t>
  </si>
  <si>
    <t>1. Enter 999999
2. Click Search</t>
  </si>
  <si>
    <t>Error: Run not found</t>
  </si>
  <si>
    <t>UAT-008</t>
  </si>
  <si>
    <t>UAT-009</t>
  </si>
  <si>
    <t>Batch Items</t>
  </si>
  <si>
    <t>1. Select Batch 894794
2. View table</t>
  </si>
  <si>
    <t>Items (WFBOTP03) with Target/Picked shown</t>
  </si>
  <si>
    <t>UAT-010</t>
  </si>
  <si>
    <t>Status Colors</t>
  </si>
  <si>
    <t>1. Load batch with mixed items</t>
  </si>
  <si>
    <t>Picked=Green, Pending=Default</t>
  </si>
  <si>
    <t>UAT-011</t>
  </si>
  <si>
    <t>FEFO Sort</t>
  </si>
  <si>
    <t>1. Select WFBOTP03
2. View lot list</t>
  </si>
  <si>
    <t>UAT-012</t>
  </si>
  <si>
    <t>Available Qty</t>
  </si>
  <si>
    <t>1. View lot list
2. Check Available column</t>
  </si>
  <si>
    <t>Available = QtyOnHand - QtyCommitSales</t>
  </si>
  <si>
    <t>UAT-013</t>
  </si>
  <si>
    <t>UAT-014</t>
  </si>
  <si>
    <t>Lot Status Filter</t>
  </si>
  <si>
    <t>1. Query lots</t>
  </si>
  <si>
    <t>Only P/C/empty/NULL status shown</t>
  </si>
  <si>
    <t>UAT-016</t>
  </si>
  <si>
    <t>Within Tolerance</t>
  </si>
  <si>
    <t>Pick saved</t>
  </si>
  <si>
    <t>UAT-017</t>
  </si>
  <si>
    <t>At Max Tolerance</t>
  </si>
  <si>
    <t>1. Enter 0.425
2. Save</t>
  </si>
  <si>
    <t>UAT-018</t>
  </si>
  <si>
    <t>At Min Tolerance</t>
  </si>
  <si>
    <t>1. Enter 0.375
2. Save</t>
  </si>
  <si>
    <t>UAT-019</t>
  </si>
  <si>
    <t>Above Max</t>
  </si>
  <si>
    <t>1. Enter 0.430
2. Save</t>
  </si>
  <si>
    <t>Error: exceeds maximum</t>
  </si>
  <si>
    <t>UAT-021</t>
  </si>
  <si>
    <t>Fetch from Scale</t>
  </si>
  <si>
    <t>1. Place on scale
2. Click Fetch</t>
  </si>
  <si>
    <t>Weight auto-populated</t>
  </si>
  <si>
    <t>UAT-022</t>
  </si>
  <si>
    <t>Manual Entry</t>
  </si>
  <si>
    <t>1. Type 0.400
2. Save</t>
  </si>
  <si>
    <t>CUSTOM1 = 'MANUAL' in DB</t>
  </si>
  <si>
    <t>UAT-023</t>
  </si>
  <si>
    <t>Range Display</t>
  </si>
  <si>
    <t>1. Select item</t>
  </si>
  <si>
    <t>Shows Min: 0.375 - Max: 0.425</t>
  </si>
  <si>
    <t>UAT-024</t>
  </si>
  <si>
    <t>Phase 1: Lot Allocation</t>
  </si>
  <si>
    <t>1. Complete pick
2. Query Cust_PartialLotPicked</t>
  </si>
  <si>
    <t>New row with LotNo, BinNo, PackSize</t>
  </si>
  <si>
    <t>UAT-025</t>
  </si>
  <si>
    <t>Phase 2: Weight Update</t>
  </si>
  <si>
    <t>1. Query cust_PartialPicked</t>
  </si>
  <si>
    <t>PickedPartialQty=weight, ItemBatchStatus='Allocated'</t>
  </si>
  <si>
    <t>UAT-026</t>
  </si>
  <si>
    <t>Phase 3: Transaction Record</t>
  </si>
  <si>
    <t>1. Query LotTransaction</t>
  </si>
  <si>
    <t>Type=5, QtyIssued=weight, User5='Picking Customization'</t>
  </si>
  <si>
    <t>UAT-027</t>
  </si>
  <si>
    <t>Phase 4: Inventory Commit</t>
  </si>
  <si>
    <t>1. Query LotMaster</t>
  </si>
  <si>
    <t>QtyCommitSales += pickedQty</t>
  </si>
  <si>
    <t>UAT-028</t>
  </si>
  <si>
    <t>Phase 5: PNITEM Update</t>
  </si>
  <si>
    <t>1. Query PNITEM</t>
  </si>
  <si>
    <t>ActualQty, AllocQty += weight, Status='A'</t>
  </si>
  <si>
    <t>UAT-029</t>
  </si>
  <si>
    <t>Phase 6: PNMAST Status</t>
  </si>
  <si>
    <t>1. Query PNMAST</t>
  </si>
  <si>
    <t>Status changed from 'R' to 'A'</t>
  </si>
  <si>
    <t>UAT-030</t>
  </si>
  <si>
    <t>Rollback Test</t>
  </si>
  <si>
    <t>1. Force Phase 4 error</t>
  </si>
  <si>
    <t>ALL 6 tables unchanged (atomic)</t>
  </si>
  <si>
    <t>UAT-032</t>
  </si>
  <si>
    <t>Single Lot Unpick</t>
  </si>
  <si>
    <t>1. Delete picked item</t>
  </si>
  <si>
    <t>PickedQty=0, Lot/Bin=NULL</t>
  </si>
  <si>
    <t>UAT-033</t>
  </si>
  <si>
    <t>Audit Preserved</t>
  </si>
  <si>
    <t>1. Unpick
2. Query DB</t>
  </si>
  <si>
    <t>ItemBatchStatus, PickingDate, ModifiedBy UNCHANGED</t>
  </si>
  <si>
    <t>UAT-034</t>
  </si>
  <si>
    <t>Qty Restored</t>
  </si>
  <si>
    <t>1. Unpick 0.4 KG</t>
  </si>
  <si>
    <t>LotMaster.QtyCommitSales -= 0.4</t>
  </si>
  <si>
    <t>UAT-035</t>
  </si>
  <si>
    <t>PNITEM Revert</t>
  </si>
  <si>
    <t>1. Unpick
2. Query PNITEM</t>
  </si>
  <si>
    <t>ActualQty, AllocQty decreased</t>
  </si>
  <si>
    <t>UAT-036</t>
  </si>
  <si>
    <t>PNMAST Revert</t>
  </si>
  <si>
    <t>1. Delete all lots
2. Query PNMAST</t>
  </si>
  <si>
    <t>Status reverts 'A' to 'R' if no picks</t>
  </si>
  <si>
    <t>UAT-037</t>
  </si>
  <si>
    <t>Delete All</t>
  </si>
  <si>
    <t>1. Click Delete All</t>
  </si>
  <si>
    <t>All 6 phases reversed for entire run</t>
  </si>
  <si>
    <t>UAT-038</t>
  </si>
  <si>
    <t>Transaction Deleted</t>
  </si>
  <si>
    <t>1. Unpick
2. Query LotTransaction</t>
  </si>
  <si>
    <t>Related row deleted</t>
  </si>
  <si>
    <t>UAT-039</t>
  </si>
  <si>
    <t>Multi-Lot Pick</t>
  </si>
  <si>
    <t>1. Pick 0.2 from Lot A
2. Pick 0.2 from Lot B</t>
  </si>
  <si>
    <t>Total=0.4, both lots recorded</t>
  </si>
  <si>
    <t>UAT-040</t>
  </si>
  <si>
    <t>Remaining Display</t>
  </si>
  <si>
    <t>1. Pick 0.2 KG (target 0.4)</t>
  </si>
  <si>
    <t>Remaining shows 0.2 KG</t>
  </si>
  <si>
    <t>UAT-041</t>
  </si>
  <si>
    <t>Complete Status</t>
  </si>
  <si>
    <t>1. Pick 0.380 (target 0.4)</t>
  </si>
  <si>
    <t>Item shows 'Picked' NOT 'Partial'</t>
  </si>
  <si>
    <t>UAT-042</t>
  </si>
  <si>
    <t>UAT-043</t>
  </si>
  <si>
    <t>Restriction Display</t>
  </si>
  <si>
    <t>1. Login restricted workstation</t>
  </si>
  <si>
    <t>Restricted items grey/disabled</t>
  </si>
  <si>
    <t>UAT-044</t>
  </si>
  <si>
    <t>UAT-045</t>
  </si>
  <si>
    <t>UAT-046</t>
  </si>
  <si>
    <t>UAT-047</t>
  </si>
  <si>
    <t>Auto-Print</t>
  </si>
  <si>
    <t>1. Complete pick</t>
  </si>
  <si>
    <t>4x4 label with QR code</t>
  </si>
  <si>
    <t>UAT-048</t>
  </si>
  <si>
    <t>QR Format</t>
  </si>
  <si>
    <t>1. Scan QR</t>
  </si>
  <si>
    <t>ITEMKEY--QTY format</t>
  </si>
  <si>
    <t>UAT-049</t>
  </si>
  <si>
    <t>Summary Label</t>
  </si>
  <si>
    <t>1. Print summary</t>
  </si>
  <si>
    <t>All items, weights, total</t>
  </si>
  <si>
    <t>UAT-050</t>
  </si>
  <si>
    <t>Reprint</t>
  </si>
  <si>
    <t>1. Click Reprint</t>
  </si>
  <si>
    <t>Same label printed</t>
  </si>
  <si>
    <t>UAT-051</t>
  </si>
  <si>
    <t>Complete Run</t>
  </si>
  <si>
    <t>1. Pick all items
2. System auto-completes</t>
  </si>
  <si>
    <t>Run Status = PRINT</t>
  </si>
  <si>
    <t>UAT-052</t>
  </si>
  <si>
    <t>Pallet ID Generated</t>
  </si>
  <si>
    <t>1. Query Seqnum (PT)</t>
  </si>
  <si>
    <t>NextValue incremented</t>
  </si>
  <si>
    <t>UAT-053</t>
  </si>
  <si>
    <t>Pallet Records Created</t>
  </si>
  <si>
    <t>1. Query Cust_PartialPalletLotPicked</t>
  </si>
  <si>
    <t>Row per item with PalletID</t>
  </si>
  <si>
    <t>UAT-054</t>
  </si>
  <si>
    <t>UAT-055</t>
  </si>
  <si>
    <t>Revert Run</t>
  </si>
  <si>
    <t>1. Revert completed run</t>
  </si>
  <si>
    <t>Pallet records DELETEd, Status=NEW</t>
  </si>
  <si>
    <t>UAT-056</t>
  </si>
  <si>
    <t>UAT-057</t>
  </si>
  <si>
    <t>Real-Time Update</t>
  </si>
  <si>
    <t>1. Place item on scale</t>
  </si>
  <si>
    <t>Weight updates &lt;200ms</t>
  </si>
  <si>
    <t>UAT-058</t>
  </si>
  <si>
    <t>Stability Indicator</t>
  </si>
  <si>
    <t>1. Wait for stable reading</t>
  </si>
  <si>
    <t>Stable indicator appears</t>
  </si>
  <si>
    <t>UAT-059</t>
  </si>
  <si>
    <t>Scale Type Switch</t>
  </si>
  <si>
    <t>1. Select Small/Big scale</t>
  </si>
  <si>
    <t>Correct scale weight</t>
  </si>
  <si>
    <t>UAT-060</t>
  </si>
  <si>
    <t>Auto-Reconnect</t>
  </si>
  <si>
    <t>1. Disconnect 5 seconds</t>
  </si>
  <si>
    <t>Auto-reconnect within 5s</t>
  </si>
  <si>
    <t>UAT-061</t>
  </si>
  <si>
    <t>Disconnect Warning</t>
  </si>
  <si>
    <t>1. Unplug scale</t>
  </si>
  <si>
    <t>Disconnected warning shown</t>
  </si>
  <si>
    <t>UAT-062</t>
  </si>
  <si>
    <t>Same Item Lock</t>
  </si>
  <si>
    <t>1. User A picks
2. User B picks same</t>
  </si>
  <si>
    <t>User B gets 'Already picked'</t>
  </si>
  <si>
    <t>UAT-063</t>
  </si>
  <si>
    <t>Different Items</t>
  </si>
  <si>
    <t>UAT-064</t>
  </si>
  <si>
    <t>No Deadlocks</t>
  </si>
  <si>
    <t>Zero deadlock errors</t>
  </si>
  <si>
    <t>UAT-065</t>
  </si>
  <si>
    <t>Unique Sequences</t>
  </si>
  <si>
    <t>100 concurrent picks</t>
  </si>
  <si>
    <t>All LotTranNo unique</t>
  </si>
  <si>
    <t>UAT-066</t>
  </si>
  <si>
    <t>UAT-067</t>
  </si>
  <si>
    <t>Date Format DD/MM/YYYY</t>
  </si>
  <si>
    <t>1. View expiry date</t>
  </si>
  <si>
    <t>DD/MM/YYYY (10/10/2025)</t>
  </si>
  <si>
    <t>UAT-068</t>
  </si>
  <si>
    <t>Audit Fields Populated</t>
  </si>
  <si>
    <t>ReceiptDocNo, VendorKey filled</t>
  </si>
  <si>
    <t>UAT-069</t>
  </si>
  <si>
    <t>PackSize Not Zero</t>
  </si>
  <si>
    <t>1. Query Cust_PartialLotPicked</t>
  </si>
  <si>
    <t>PackSize &gt; 0</t>
  </si>
  <si>
    <t>UAT-070</t>
  </si>
  <si>
    <t>UAT-071</t>
  </si>
  <si>
    <t>Pick Phase 1 Verify</t>
  </si>
  <si>
    <t>1. Pick item
2. Query Cust_PartialLotPicked</t>
  </si>
  <si>
    <t>Row with correct LotNo, BinNo</t>
  </si>
  <si>
    <t>UAT-072</t>
  </si>
  <si>
    <t>Pick Phase 2 Verify</t>
  </si>
  <si>
    <t>PickedPartialQty=weight</t>
  </si>
  <si>
    <t>UAT-073</t>
  </si>
  <si>
    <t>Pick Phase 3 Verify</t>
  </si>
  <si>
    <t>Type=5, User5 set</t>
  </si>
  <si>
    <t>UAT-074</t>
  </si>
  <si>
    <t>Pick Phase 4 Verify</t>
  </si>
  <si>
    <t>QtyCommitSales increased</t>
  </si>
  <si>
    <t>Network Timeout</t>
  </si>
  <si>
    <t>1. Simulate 30s delay</t>
  </si>
  <si>
    <t>Timeout error shown</t>
  </si>
  <si>
    <t>DB Offline</t>
  </si>
  <si>
    <t>1. Stop database</t>
  </si>
  <si>
    <t>Database unavailable error</t>
  </si>
  <si>
    <t>Invalid Lot</t>
  </si>
  <si>
    <t>1. Force invalid lot number</t>
  </si>
  <si>
    <t>Lot not found error</t>
  </si>
  <si>
    <t>Zero Weight</t>
  </si>
  <si>
    <t>1. Enter 0
2. Save</t>
  </si>
  <si>
    <t>POST /api/auth/login</t>
  </si>
  <si>
    <t>Measure response time</t>
  </si>
  <si>
    <t>&lt;500ms</t>
  </si>
  <si>
    <t>GET /api/runs/{runNo}</t>
  </si>
  <si>
    <t>GET /api/runs/.../items</t>
  </si>
  <si>
    <t>POST /api/picks</t>
  </si>
  <si>
    <t>GET /api/lots/available</t>
  </si>
  <si>
    <t>WebSocket Latency</t>
  </si>
  <si>
    <t>Measure weight update time</t>
  </si>
  <si>
    <t>Database Verification Queries</t>
  </si>
  <si>
    <t>Reference queries for developers to verify pick operations</t>
  </si>
  <si>
    <t>SQL Query</t>
  </si>
  <si>
    <t>Verified</t>
  </si>
  <si>
    <t>SELECT LotNo, QtyOnHand, QtyCommitSales, (QtyOnHand-QtyCommitSales) AS Available FROM LotMaster WHERE ItemKey='WFBOTP03'</t>
  </si>
  <si>
    <t>SELECT LotNo, LotStatus FROM LotMaster WHERE LotStatus IN ('P','C','') OR LotStatus IS NULL</t>
  </si>
  <si>
    <t>SELECT RunNo, RowNum, LineId, ItemKey, LotNo, BinNo, PackSize, QtyIssued FROM Cust_PartialLotPicked WHERE RunNo=227857 AND RowNum=1 AND LineId=1</t>
  </si>
  <si>
    <t>SELECT PickedPartialQty, ItemBatchStatus, PickingDate, ModifiedBy, CUSTOM1 FROM cust_PartialPicked WHERE RunNo=227857 AND RowNum=1 AND LineId=1</t>
  </si>
  <si>
    <t>SELECT BatchNo, LineId, ActualQty, AllocQty, Status, User11 FROM PNITEM WHERE BatchNo='894794' AND LineId=1</t>
  </si>
  <si>
    <t>SELECT BatchNo, Status, CustKey FROM PNMAST WHERE BatchNo='894794'</t>
  </si>
  <si>
    <t>-- Verify all 6 tables show NO partial updates</t>
  </si>
  <si>
    <t>SELECT PickedPartialQty FROM cust_PartialPicked WHERE RunNo=227857 AND RowNum=1 AND LineId=1</t>
  </si>
  <si>
    <t>SELECT ActualQty, AllocQty FROM PNITEM WHERE BatchNo='894794' AND LineId=1</t>
  </si>
  <si>
    <t>SELECT Status FROM PNMAST WHERE BatchNo='894794'</t>
  </si>
  <si>
    <t>SELECT RunNo, Status, ModifiedBy FROM Cust_PartialRun WHERE RunNo=227857</t>
  </si>
  <si>
    <t>SELECT RunNo, RowNum, LineId, PalletID, RecUserid FROM Cust_PartialPalletLotPicked WHERE RunNo=227857</t>
  </si>
  <si>
    <t>SELECT LotTranNo, COUNT(*) FROM LotTransaction GROUP BY LotTranNo HAVING COUNT(*)&gt;1 -- Should return 0 rows</t>
  </si>
  <si>
    <t>SELECT ReceiptDocNo, VendorKey, DateReceived FROM LotTransaction WHERE TransactionType=5 ORDER BY LotTranNo DESC</t>
  </si>
  <si>
    <t>SELECT PackSize FROM Cust_PartialLotPicked WHERE RunNo=227857 AND PackSize=0 -- Should return 0 rows</t>
  </si>
  <si>
    <t>SELECT * FROM Cust_PartialLotPicked WHERE RunNo=227857</t>
  </si>
  <si>
    <t>SELECT PickedPartialQty, ItemBatchStatus FROM cust_PartialPicked WHERE RunNo=227857</t>
  </si>
  <si>
    <t>SELECT TransactionType, User5 FROM LotTransaction WHERE TransactionType=5 ORDER BY LotTranNo DESC</t>
  </si>
  <si>
    <t>1. Go to login
2. Enter AD / LDAP  Account
3. Click Login</t>
  </si>
  <si>
    <t>Software Developer</t>
  </si>
  <si>
    <t>Wind</t>
  </si>
  <si>
    <t xml:space="preserve">User Acceptance Test </t>
  </si>
  <si>
    <t>PASS</t>
  </si>
  <si>
    <t>SKIP</t>
  </si>
  <si>
    <t>TEST VIA SCRIPT</t>
  </si>
  <si>
    <t>Sorted by Expiry ASC  (2602477-1 first)</t>
  </si>
  <si>
    <t>Sorted by Expiry ASC (2602477-1 first)</t>
  </si>
  <si>
    <t>SELECT LotNo,LotStatus,BinNo,DateExpiry FROM LotMaster WHERE ItemKey='WFBOTP03' ORDER BY DateExpiry ASC</t>
  </si>
  <si>
    <t>Runno : 227857 Item WFBOTP03
1. Target=0.4, Tol=0.025
2. Enter 0.410
3. Save</t>
  </si>
  <si>
    <t>SELECT Runno , Rownum , batchno , itemkey ,CUSTOM1 FROM cust_PartialPicked WHERE RunNo=227857 AND RowNum=1 AND LineId=1</t>
  </si>
  <si>
    <t>SELECT LotTranNo, TransactionType, QtyIssued, RecUserid, User5, Processed FROM LotTransaction WHERE ItemKey='WFBOTP03' AND LotNo='2603350' AND TransactionType=5 ORDER BY LotTranNo DESC</t>
  </si>
  <si>
    <t>BME882024</t>
  </si>
  <si>
    <t>Deachawat</t>
  </si>
  <si>
    <t>SELECT PickingDate, ModifiedBy FROM cust_PartialPicked WHERE RunNo=227857 -- MUST NOT BE NULL after unpick</t>
  </si>
  <si>
    <t>PickingDate, ModifiedBy UNCHANGED</t>
  </si>
  <si>
    <t>SELECT QtyCommitSales FROM LotMaster WHERE ItemKey='WFBOTP03' AND LotNo='2603350'</t>
  </si>
  <si>
    <t>LotMaster.QtyCommitSales = restored</t>
  </si>
  <si>
    <t xml:space="preserve">SELECT COUNT(*) FROM LotTransaction WHERE ItemKey='WFBOTP03' AND LotNo = '2603350' AND BinNo = 'PWBA-02' AND RecUserid = 'deachawa' AND TransactionType=5 </t>
  </si>
  <si>
    <t>SELECT LotNo, QtyIssued FROM Cust_PartialLotPicked WHERE RunNo=227857 AND LineId=1
SELECT Runno ,ItemKey , PickedPartialQty from cust_PartialPicked where itemkey = 'WFBOTP03' and RunNo = '227857'</t>
  </si>
  <si>
    <t>SELECT QtyCommitSales FROM LotMaster WHERE ItemKey='WFBOTP03' and LotNo = '2603350' and BinNo = 'PWBA-02'</t>
  </si>
  <si>
    <t>30-WS load test</t>
  </si>
  <si>
    <t>We cant stop DB</t>
  </si>
  <si>
    <t>Error: Weight must be at least 0.001 KG</t>
  </si>
  <si>
    <t>Unit Test</t>
  </si>
  <si>
    <t>UAT-015</t>
  </si>
  <si>
    <t>UAT-020</t>
  </si>
  <si>
    <t>UAT-031</t>
  </si>
  <si>
    <t>PASS VIA SCRIPT</t>
  </si>
  <si>
    <t>-</t>
  </si>
  <si>
    <t>Load Test</t>
  </si>
  <si>
    <t>30 users pick different items</t>
  </si>
  <si>
    <t>All 30 succeed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</si>
</sst>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1A365D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color rgb="FFFFFFFF"/>
      <name val="Calibri"/>
    </font>
    <font>
      <b/>
      <sz val="14"/>
      <color rgb="FF1A365D"/>
      <name val="Calibri"/>
    </font>
    <font>
      <i/>
      <sz val="11"/>
      <color rgb="FF718096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E2E8F0"/>
      </patternFill>
    </fill>
    <fill>
      <patternFill patternType="solid">
        <fgColor rgb="FFE8F4FD"/>
        <bgColor rgb="FFE8F4FD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CE7F3"/>
        <bgColor rgb="FFFCE7F3"/>
      </patternFill>
    </fill>
    <fill>
      <patternFill patternType="solid">
        <fgColor rgb="FFE0E7FF"/>
        <bgColor rgb="FFE0E7FF"/>
      </patternFill>
    </fill>
    <fill>
      <patternFill patternType="solid">
        <fgColor rgb="FFFEE2E2"/>
        <bgColor rgb="FFFEE2E2"/>
      </patternFill>
    </fill>
    <fill>
      <patternFill patternType="solid">
        <fgColor rgb="FFF3E8FF"/>
        <bgColor rgb="FFF3E8FF"/>
      </patternFill>
    </fill>
    <fill>
      <patternFill patternType="solid">
        <fgColor rgb="FFCCFBF1"/>
        <bgColor rgb="FFCCFBF1"/>
      </patternFill>
    </fill>
    <fill>
      <patternFill patternType="solid">
        <fgColor rgb="FFFEF9C3"/>
        <bgColor rgb="FFFEF9C3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FECACA"/>
        <bgColor rgb="FFFECACA"/>
      </patternFill>
    </fill>
    <fill>
      <patternFill patternType="solid">
        <fgColor rgb="FFBBF7D0"/>
        <bgColor rgb="FFBBF7D0"/>
      </patternFill>
    </fill>
    <fill>
      <patternFill patternType="solid">
        <fgColor rgb="FFFED7AA"/>
        <bgColor rgb="FFFED7AA"/>
      </patternFill>
    </fill>
    <fill>
      <patternFill patternType="solid">
        <fgColor rgb="FFE5E7EB"/>
        <bgColor rgb="FFE5E7EB"/>
      </patternFill>
    </fill>
    <fill>
      <patternFill patternType="solid">
        <fgColor rgb="FFF7FAF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rgb="FFD1FAE5"/>
      </patternFill>
    </fill>
    <fill>
      <patternFill patternType="solid">
        <fgColor theme="4" tint="0.79998168889431442"/>
        <bgColor rgb="FFFCE7F3"/>
      </patternFill>
    </fill>
    <fill>
      <patternFill patternType="solid">
        <fgColor theme="6" tint="0.79998168889431442"/>
        <bgColor rgb="FFD1FAE5"/>
      </patternFill>
    </fill>
    <fill>
      <patternFill patternType="solid">
        <fgColor theme="6" tint="0.79998168889431442"/>
        <bgColor rgb="FFFCE7F3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rgb="FFE0E7FF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7" fillId="20" borderId="0" applyNumberFormat="0" applyBorder="0" applyAlignment="0" applyProtection="0"/>
    <xf numFmtId="0" fontId="8" fillId="21" borderId="0" applyNumberFormat="0" applyBorder="0" applyAlignment="0" applyProtection="0"/>
    <xf numFmtId="0" fontId="9" fillId="22" borderId="1" applyNumberFormat="0" applyAlignment="0" applyProtection="0"/>
    <xf numFmtId="0" fontId="12" fillId="0" borderId="7" applyNumberFormat="0" applyFill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2" xfId="0" applyBorder="1"/>
    <xf numFmtId="0" fontId="3" fillId="0" borderId="2" xfId="0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25" borderId="2" xfId="0" applyFont="1" applyFill="1" applyBorder="1"/>
    <xf numFmtId="0" fontId="0" fillId="25" borderId="2" xfId="0" applyFill="1" applyBorder="1"/>
    <xf numFmtId="0" fontId="0" fillId="0" borderId="0" xfId="0" applyAlignment="1">
      <alignment vertical="center"/>
    </xf>
    <xf numFmtId="0" fontId="0" fillId="24" borderId="2" xfId="0" applyFill="1" applyBorder="1"/>
    <xf numFmtId="0" fontId="0" fillId="27" borderId="2" xfId="0" applyFill="1" applyBorder="1" applyAlignment="1">
      <alignment vertical="center"/>
    </xf>
    <xf numFmtId="14" fontId="0" fillId="27" borderId="2" xfId="0" applyNumberFormat="1" applyFill="1" applyBorder="1" applyAlignment="1">
      <alignment vertical="center"/>
    </xf>
    <xf numFmtId="0" fontId="0" fillId="28" borderId="2" xfId="0" applyFill="1" applyBorder="1" applyAlignment="1">
      <alignment horizontal="center" vertical="center"/>
    </xf>
    <xf numFmtId="0" fontId="0" fillId="28" borderId="2" xfId="0" applyFill="1" applyBorder="1"/>
    <xf numFmtId="0" fontId="15" fillId="25" borderId="2" xfId="0" applyFont="1" applyFill="1" applyBorder="1" applyAlignment="1">
      <alignment vertical="center"/>
    </xf>
    <xf numFmtId="0" fontId="9" fillId="22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2" fillId="26" borderId="2" xfId="4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4" borderId="2" xfId="5" applyFont="1" applyFill="1" applyBorder="1" applyAlignment="1">
      <alignment vertical="center"/>
    </xf>
    <xf numFmtId="0" fontId="16" fillId="4" borderId="2" xfId="5" applyFont="1" applyFill="1" applyBorder="1" applyAlignment="1">
      <alignment vertical="center" wrapText="1"/>
    </xf>
    <xf numFmtId="0" fontId="16" fillId="29" borderId="2" xfId="5" applyFont="1" applyFill="1" applyBorder="1" applyAlignment="1">
      <alignment vertical="center"/>
    </xf>
    <xf numFmtId="0" fontId="16" fillId="5" borderId="2" xfId="5" applyFont="1" applyFill="1" applyBorder="1" applyAlignment="1">
      <alignment vertical="center"/>
    </xf>
    <xf numFmtId="0" fontId="16" fillId="5" borderId="2" xfId="5" applyFont="1" applyFill="1" applyBorder="1" applyAlignment="1">
      <alignment vertical="center" wrapText="1"/>
    </xf>
    <xf numFmtId="0" fontId="16" fillId="6" borderId="2" xfId="5" applyFont="1" applyFill="1" applyBorder="1" applyAlignment="1">
      <alignment vertical="center"/>
    </xf>
    <xf numFmtId="0" fontId="16" fillId="6" borderId="2" xfId="5" applyFont="1" applyFill="1" applyBorder="1" applyAlignment="1">
      <alignment vertical="center" wrapText="1"/>
    </xf>
    <xf numFmtId="0" fontId="16" fillId="7" borderId="2" xfId="5" applyFont="1" applyFill="1" applyBorder="1" applyAlignment="1">
      <alignment vertical="center"/>
    </xf>
    <xf numFmtId="0" fontId="16" fillId="7" borderId="2" xfId="5" applyFont="1" applyFill="1" applyBorder="1" applyAlignment="1">
      <alignment vertical="center" wrapText="1"/>
    </xf>
    <xf numFmtId="0" fontId="16" fillId="8" borderId="2" xfId="5" applyFont="1" applyFill="1" applyBorder="1" applyAlignment="1">
      <alignment vertical="center"/>
    </xf>
    <xf numFmtId="0" fontId="16" fillId="8" borderId="2" xfId="5" applyFont="1" applyFill="1" applyBorder="1" applyAlignment="1">
      <alignment vertical="center" wrapText="1"/>
    </xf>
    <xf numFmtId="0" fontId="16" fillId="9" borderId="2" xfId="5" applyFont="1" applyFill="1" applyBorder="1" applyAlignment="1">
      <alignment vertical="center"/>
    </xf>
    <xf numFmtId="0" fontId="16" fillId="9" borderId="2" xfId="5" applyFont="1" applyFill="1" applyBorder="1" applyAlignment="1">
      <alignment vertical="center" wrapText="1"/>
    </xf>
    <xf numFmtId="0" fontId="16" fillId="10" borderId="2" xfId="5" applyFont="1" applyFill="1" applyBorder="1" applyAlignment="1">
      <alignment vertical="center"/>
    </xf>
    <xf numFmtId="0" fontId="16" fillId="10" borderId="2" xfId="5" applyFont="1" applyFill="1" applyBorder="1" applyAlignment="1">
      <alignment vertical="center" wrapText="1"/>
    </xf>
    <xf numFmtId="0" fontId="16" fillId="11" borderId="2" xfId="5" applyFont="1" applyFill="1" applyBorder="1" applyAlignment="1">
      <alignment vertical="center"/>
    </xf>
    <xf numFmtId="0" fontId="16" fillId="11" borderId="2" xfId="5" applyFont="1" applyFill="1" applyBorder="1" applyAlignment="1">
      <alignment vertical="center" wrapText="1"/>
    </xf>
    <xf numFmtId="0" fontId="16" fillId="12" borderId="2" xfId="5" applyFont="1" applyFill="1" applyBorder="1" applyAlignment="1">
      <alignment vertical="center"/>
    </xf>
    <xf numFmtId="0" fontId="16" fillId="12" borderId="2" xfId="5" applyFont="1" applyFill="1" applyBorder="1" applyAlignment="1">
      <alignment vertical="center" wrapText="1"/>
    </xf>
    <xf numFmtId="0" fontId="16" fillId="13" borderId="2" xfId="5" applyFont="1" applyFill="1" applyBorder="1" applyAlignment="1">
      <alignment vertical="center"/>
    </xf>
    <xf numFmtId="0" fontId="16" fillId="13" borderId="2" xfId="5" applyFont="1" applyFill="1" applyBorder="1" applyAlignment="1">
      <alignment vertical="center" wrapText="1"/>
    </xf>
    <xf numFmtId="0" fontId="16" fillId="14" borderId="2" xfId="5" applyFont="1" applyFill="1" applyBorder="1" applyAlignment="1">
      <alignment vertical="center"/>
    </xf>
    <xf numFmtId="0" fontId="16" fillId="14" borderId="2" xfId="5" applyFont="1" applyFill="1" applyBorder="1" applyAlignment="1">
      <alignment vertical="center" wrapText="1"/>
    </xf>
    <xf numFmtId="0" fontId="16" fillId="15" borderId="2" xfId="5" applyFont="1" applyFill="1" applyBorder="1" applyAlignment="1">
      <alignment vertical="center"/>
    </xf>
    <xf numFmtId="0" fontId="16" fillId="15" borderId="2" xfId="5" applyFont="1" applyFill="1" applyBorder="1" applyAlignment="1">
      <alignment vertical="center" wrapText="1"/>
    </xf>
    <xf numFmtId="0" fontId="16" fillId="16" borderId="2" xfId="5" applyFont="1" applyFill="1" applyBorder="1" applyAlignment="1">
      <alignment vertical="center"/>
    </xf>
    <xf numFmtId="0" fontId="16" fillId="16" borderId="2" xfId="5" applyFont="1" applyFill="1" applyBorder="1" applyAlignment="1">
      <alignment vertical="center" wrapText="1"/>
    </xf>
    <xf numFmtId="0" fontId="16" fillId="17" borderId="2" xfId="5" applyFont="1" applyFill="1" applyBorder="1" applyAlignment="1">
      <alignment vertical="center"/>
    </xf>
    <xf numFmtId="0" fontId="16" fillId="17" borderId="2" xfId="5" applyFont="1" applyFill="1" applyBorder="1" applyAlignment="1">
      <alignment vertical="center" wrapText="1"/>
    </xf>
    <xf numFmtId="0" fontId="16" fillId="18" borderId="2" xfId="5" applyFont="1" applyFill="1" applyBorder="1" applyAlignment="1">
      <alignment vertical="center"/>
    </xf>
    <xf numFmtId="0" fontId="16" fillId="18" borderId="2" xfId="5" applyFont="1" applyFill="1" applyBorder="1" applyAlignment="1">
      <alignment vertical="center" wrapText="1"/>
    </xf>
    <xf numFmtId="0" fontId="14" fillId="34" borderId="2" xfId="5" applyFont="1" applyFill="1" applyBorder="1" applyAlignment="1">
      <alignment horizontal="center" vertical="center"/>
    </xf>
    <xf numFmtId="0" fontId="14" fillId="34" borderId="2" xfId="5" applyFont="1" applyFill="1" applyBorder="1" applyAlignment="1">
      <alignment vertical="center"/>
    </xf>
    <xf numFmtId="0" fontId="14" fillId="35" borderId="2" xfId="5" applyFont="1" applyFill="1" applyBorder="1" applyAlignment="1">
      <alignment horizontal="center" vertical="center"/>
    </xf>
    <xf numFmtId="0" fontId="16" fillId="36" borderId="2" xfId="5" applyFont="1" applyFill="1" applyBorder="1" applyAlignment="1">
      <alignment vertical="center"/>
    </xf>
    <xf numFmtId="0" fontId="16" fillId="36" borderId="2" xfId="5" applyFont="1" applyFill="1" applyBorder="1" applyAlignment="1">
      <alignment vertical="center" wrapText="1"/>
    </xf>
    <xf numFmtId="0" fontId="14" fillId="28" borderId="2" xfId="5" applyFont="1" applyFill="1" applyBorder="1"/>
    <xf numFmtId="0" fontId="14" fillId="34" borderId="2" xfId="2" applyFont="1" applyFill="1" applyBorder="1" applyAlignment="1">
      <alignment vertical="center"/>
    </xf>
    <xf numFmtId="0" fontId="17" fillId="32" borderId="2" xfId="4" applyFont="1" applyFill="1" applyBorder="1" applyAlignment="1">
      <alignment vertical="center"/>
    </xf>
    <xf numFmtId="0" fontId="17" fillId="30" borderId="2" xfId="4" applyFont="1" applyFill="1" applyBorder="1" applyAlignment="1">
      <alignment vertical="center"/>
    </xf>
    <xf numFmtId="0" fontId="17" fillId="19" borderId="2" xfId="4" applyFont="1" applyFill="1" applyBorder="1" applyAlignment="1">
      <alignment vertical="center" wrapText="1"/>
    </xf>
    <xf numFmtId="0" fontId="17" fillId="23" borderId="2" xfId="4" applyFont="1" applyFill="1" applyBorder="1" applyAlignment="1">
      <alignment vertical="center" wrapText="1"/>
    </xf>
    <xf numFmtId="0" fontId="17" fillId="33" borderId="2" xfId="4" applyFont="1" applyFill="1" applyBorder="1" applyAlignment="1">
      <alignment vertical="center"/>
    </xf>
    <xf numFmtId="0" fontId="17" fillId="31" borderId="2" xfId="4" applyFont="1" applyFill="1" applyBorder="1" applyAlignment="1">
      <alignment vertical="center"/>
    </xf>
    <xf numFmtId="0" fontId="17" fillId="23" borderId="2" xfId="4" applyFont="1" applyFill="1" applyBorder="1" applyAlignment="1">
      <alignment vertical="top" wrapText="1"/>
    </xf>
    <xf numFmtId="0" fontId="17" fillId="26" borderId="2" xfId="4" applyFont="1" applyFill="1" applyBorder="1" applyAlignment="1">
      <alignment vertical="center"/>
    </xf>
    <xf numFmtId="0" fontId="17" fillId="24" borderId="2" xfId="4" applyFont="1" applyFill="1" applyBorder="1" applyAlignment="1">
      <alignment horizontal="left" vertical="center"/>
    </xf>
    <xf numFmtId="0" fontId="1" fillId="37" borderId="0" xfId="0" applyFont="1" applyFill="1"/>
    <xf numFmtId="0" fontId="0" fillId="37" borderId="0" xfId="0" applyFill="1"/>
    <xf numFmtId="0" fontId="10" fillId="37" borderId="0" xfId="0" applyFont="1" applyFill="1"/>
    <xf numFmtId="14" fontId="16" fillId="29" borderId="2" xfId="5" applyNumberFormat="1" applyFont="1" applyFill="1" applyBorder="1" applyAlignment="1">
      <alignment horizontal="center" vertical="center"/>
    </xf>
    <xf numFmtId="0" fontId="14" fillId="35" borderId="2" xfId="1" applyFont="1" applyFill="1" applyBorder="1" applyAlignment="1">
      <alignment horizontal="center" vertical="center"/>
    </xf>
    <xf numFmtId="0" fontId="2" fillId="2" borderId="2" xfId="0" applyFont="1" applyFill="1" applyBorder="1"/>
    <xf numFmtId="0" fontId="0" fillId="0" borderId="2" xfId="0" applyBorder="1"/>
    <xf numFmtId="0" fontId="2" fillId="2" borderId="5" xfId="0" applyFont="1" applyFill="1" applyBorder="1"/>
    <xf numFmtId="0" fontId="0" fillId="0" borderId="6" xfId="0" applyBorder="1"/>
    <xf numFmtId="0" fontId="0" fillId="0" borderId="4" xfId="0" applyBorder="1"/>
  </cellXfs>
  <cellStyles count="6">
    <cellStyle name="Calculation" xfId="3" builtinId="22"/>
    <cellStyle name="Good" xfId="1" builtinId="26"/>
    <cellStyle name="Heading 2" xfId="4" builtinId="17"/>
    <cellStyle name="Heading 4" xfId="5" builtinId="19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81805</xdr:colOff>
      <xdr:row>8</xdr:row>
      <xdr:rowOff>403411</xdr:rowOff>
    </xdr:from>
    <xdr:to>
      <xdr:col>3</xdr:col>
      <xdr:colOff>3025469</xdr:colOff>
      <xdr:row>8</xdr:row>
      <xdr:rowOff>935131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96EA8-B21F-2B7F-D9C8-8094D49D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3040" y="3148852"/>
          <a:ext cx="2947474" cy="521560"/>
        </a:xfrm>
        <a:prstGeom prst="rect">
          <a:avLst/>
        </a:prstGeom>
      </xdr:spPr>
    </xdr:pic>
    <xdr:clientData/>
  </xdr:twoCellAnchor>
  <xdr:twoCellAnchor editAs="oneCell">
    <xdr:from>
      <xdr:col>3</xdr:col>
      <xdr:colOff>67235</xdr:colOff>
      <xdr:row>7</xdr:row>
      <xdr:rowOff>321796</xdr:rowOff>
    </xdr:from>
    <xdr:to>
      <xdr:col>3</xdr:col>
      <xdr:colOff>2763551</xdr:colOff>
      <xdr:row>7</xdr:row>
      <xdr:rowOff>856214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455685-92BC-6FEB-9764-AE9889BA4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78470" y="2002678"/>
          <a:ext cx="2680441" cy="534418"/>
        </a:xfrm>
        <a:prstGeom prst="rect">
          <a:avLst/>
        </a:prstGeom>
      </xdr:spPr>
    </xdr:pic>
    <xdr:clientData/>
  </xdr:twoCellAnchor>
  <xdr:twoCellAnchor editAs="oneCell">
    <xdr:from>
      <xdr:col>3</xdr:col>
      <xdr:colOff>80332</xdr:colOff>
      <xdr:row>9</xdr:row>
      <xdr:rowOff>538410</xdr:rowOff>
    </xdr:from>
    <xdr:to>
      <xdr:col>3</xdr:col>
      <xdr:colOff>3294813</xdr:colOff>
      <xdr:row>9</xdr:row>
      <xdr:rowOff>1100463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00660-9272-E5B0-494C-0AD91587D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39410" y="5395332"/>
          <a:ext cx="3214481" cy="562053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10</xdr:row>
      <xdr:rowOff>426194</xdr:rowOff>
    </xdr:from>
    <xdr:to>
      <xdr:col>3</xdr:col>
      <xdr:colOff>3276975</xdr:colOff>
      <xdr:row>10</xdr:row>
      <xdr:rowOff>816386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74F3FC-91D4-47C9-20D3-106FCBF3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8471" y="5323165"/>
          <a:ext cx="3209739" cy="382572"/>
        </a:xfrm>
        <a:prstGeom prst="rect">
          <a:avLst/>
        </a:prstGeom>
      </xdr:spPr>
    </xdr:pic>
    <xdr:clientData/>
  </xdr:twoCellAnchor>
  <xdr:twoCellAnchor editAs="oneCell">
    <xdr:from>
      <xdr:col>3</xdr:col>
      <xdr:colOff>64060</xdr:colOff>
      <xdr:row>11</xdr:row>
      <xdr:rowOff>277368</xdr:rowOff>
    </xdr:from>
    <xdr:to>
      <xdr:col>3</xdr:col>
      <xdr:colOff>2074769</xdr:colOff>
      <xdr:row>11</xdr:row>
      <xdr:rowOff>663583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9962D2-C6E3-0AE6-C793-7BD42903E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5295" y="6283721"/>
          <a:ext cx="2020234" cy="374150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</xdr:colOff>
      <xdr:row>12</xdr:row>
      <xdr:rowOff>223774</xdr:rowOff>
    </xdr:from>
    <xdr:to>
      <xdr:col>3</xdr:col>
      <xdr:colOff>1448734</xdr:colOff>
      <xdr:row>12</xdr:row>
      <xdr:rowOff>707221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D0DC6B-CA2A-FB74-D3BB-76B056F93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89676" y="7216245"/>
          <a:ext cx="1370293" cy="494242"/>
        </a:xfrm>
        <a:prstGeom prst="rect">
          <a:avLst/>
        </a:prstGeom>
      </xdr:spPr>
    </xdr:pic>
    <xdr:clientData/>
  </xdr:twoCellAnchor>
  <xdr:twoCellAnchor editAs="oneCell">
    <xdr:from>
      <xdr:col>3</xdr:col>
      <xdr:colOff>52444</xdr:colOff>
      <xdr:row>14</xdr:row>
      <xdr:rowOff>244511</xdr:rowOff>
    </xdr:from>
    <xdr:to>
      <xdr:col>3</xdr:col>
      <xdr:colOff>1507528</xdr:colOff>
      <xdr:row>14</xdr:row>
      <xdr:rowOff>1007508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49057D-89A2-7202-F378-030568573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95591" y="9579011"/>
          <a:ext cx="1447464" cy="757282"/>
        </a:xfrm>
        <a:prstGeom prst="rect">
          <a:avLst/>
        </a:prstGeom>
      </xdr:spPr>
    </xdr:pic>
    <xdr:clientData/>
  </xdr:twoCellAnchor>
  <xdr:twoCellAnchor editAs="oneCell">
    <xdr:from>
      <xdr:col>3</xdr:col>
      <xdr:colOff>101237</xdr:colOff>
      <xdr:row>15</xdr:row>
      <xdr:rowOff>169591</xdr:rowOff>
    </xdr:from>
    <xdr:to>
      <xdr:col>3</xdr:col>
      <xdr:colOff>1584415</xdr:colOff>
      <xdr:row>15</xdr:row>
      <xdr:rowOff>892725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EEC41-617C-A7FB-A529-4ADCD26E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45880" y="10633484"/>
          <a:ext cx="1486988" cy="72694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17</xdr:row>
      <xdr:rowOff>326571</xdr:rowOff>
    </xdr:from>
    <xdr:to>
      <xdr:col>3</xdr:col>
      <xdr:colOff>1428866</xdr:colOff>
      <xdr:row>17</xdr:row>
      <xdr:rowOff>764759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C26DE8-E0EA-3ACC-286A-646DDA217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9893" y="12368892"/>
          <a:ext cx="1333616" cy="438188"/>
        </a:xfrm>
        <a:prstGeom prst="rect">
          <a:avLst/>
        </a:prstGeom>
      </xdr:spPr>
    </xdr:pic>
    <xdr:clientData/>
  </xdr:twoCellAnchor>
  <xdr:twoCellAnchor editAs="oneCell">
    <xdr:from>
      <xdr:col>3</xdr:col>
      <xdr:colOff>145868</xdr:colOff>
      <xdr:row>18</xdr:row>
      <xdr:rowOff>237037</xdr:rowOff>
    </xdr:from>
    <xdr:to>
      <xdr:col>3</xdr:col>
      <xdr:colOff>1048917</xdr:colOff>
      <xdr:row>18</xdr:row>
      <xdr:rowOff>858121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5FB0AB-A3BB-25EC-49F3-729AB33B6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90511" y="13177430"/>
          <a:ext cx="903049" cy="609654"/>
        </a:xfrm>
        <a:prstGeom prst="rect">
          <a:avLst/>
        </a:prstGeom>
      </xdr:spPr>
    </xdr:pic>
    <xdr:clientData/>
  </xdr:twoCellAnchor>
  <xdr:twoCellAnchor editAs="oneCell">
    <xdr:from>
      <xdr:col>3</xdr:col>
      <xdr:colOff>167096</xdr:colOff>
      <xdr:row>19</xdr:row>
      <xdr:rowOff>149679</xdr:rowOff>
    </xdr:from>
    <xdr:to>
      <xdr:col>3</xdr:col>
      <xdr:colOff>1698848</xdr:colOff>
      <xdr:row>19</xdr:row>
      <xdr:rowOff>530712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93FE2B-1D90-D586-8C8F-90C149F01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11739" y="14097000"/>
          <a:ext cx="1524132" cy="381033"/>
        </a:xfrm>
        <a:prstGeom prst="rect">
          <a:avLst/>
        </a:prstGeom>
      </xdr:spPr>
    </xdr:pic>
    <xdr:clientData/>
  </xdr:twoCellAnchor>
  <xdr:twoCellAnchor editAs="oneCell">
    <xdr:from>
      <xdr:col>3</xdr:col>
      <xdr:colOff>176894</xdr:colOff>
      <xdr:row>20</xdr:row>
      <xdr:rowOff>256631</xdr:rowOff>
    </xdr:from>
    <xdr:to>
      <xdr:col>3</xdr:col>
      <xdr:colOff>2118060</xdr:colOff>
      <xdr:row>20</xdr:row>
      <xdr:rowOff>1314564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C1D0DB-5F55-47EC-2091-827353D1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21537" y="14829881"/>
          <a:ext cx="1946881" cy="1057933"/>
        </a:xfrm>
        <a:prstGeom prst="rect">
          <a:avLst/>
        </a:prstGeom>
      </xdr:spPr>
    </xdr:pic>
    <xdr:clientData/>
  </xdr:twoCellAnchor>
  <xdr:twoCellAnchor editAs="oneCell">
    <xdr:from>
      <xdr:col>3</xdr:col>
      <xdr:colOff>176892</xdr:colOff>
      <xdr:row>21</xdr:row>
      <xdr:rowOff>299357</xdr:rowOff>
    </xdr:from>
    <xdr:to>
      <xdr:col>3</xdr:col>
      <xdr:colOff>2343066</xdr:colOff>
      <xdr:row>21</xdr:row>
      <xdr:rowOff>933775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14FB4FF-755A-71C8-4B93-D38C28905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21535" y="16383000"/>
          <a:ext cx="2181414" cy="619178"/>
        </a:xfrm>
        <a:prstGeom prst="rect">
          <a:avLst/>
        </a:prstGeom>
      </xdr:spPr>
    </xdr:pic>
    <xdr:clientData/>
  </xdr:twoCellAnchor>
  <xdr:twoCellAnchor editAs="oneCell">
    <xdr:from>
      <xdr:col>3</xdr:col>
      <xdr:colOff>54430</xdr:colOff>
      <xdr:row>22</xdr:row>
      <xdr:rowOff>155842</xdr:rowOff>
    </xdr:from>
    <xdr:to>
      <xdr:col>3</xdr:col>
      <xdr:colOff>2136322</xdr:colOff>
      <xdr:row>22</xdr:row>
      <xdr:rowOff>822769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06885D-F0F9-709F-ADC5-9E53F1255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99073" y="17355271"/>
          <a:ext cx="2081892" cy="672642"/>
        </a:xfrm>
        <a:prstGeom prst="rect">
          <a:avLst/>
        </a:prstGeom>
      </xdr:spPr>
    </xdr:pic>
    <xdr:clientData/>
  </xdr:twoCellAnchor>
  <xdr:twoCellAnchor editAs="oneCell">
    <xdr:from>
      <xdr:col>3</xdr:col>
      <xdr:colOff>81643</xdr:colOff>
      <xdr:row>23</xdr:row>
      <xdr:rowOff>215318</xdr:rowOff>
    </xdr:from>
    <xdr:to>
      <xdr:col>3</xdr:col>
      <xdr:colOff>1981201</xdr:colOff>
      <xdr:row>23</xdr:row>
      <xdr:rowOff>701083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B0751AE-9EF9-1CB2-6057-15EB4468B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40721" y="18350918"/>
          <a:ext cx="1899558" cy="485765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108857</xdr:colOff>
      <xdr:row>25</xdr:row>
      <xdr:rowOff>181351</xdr:rowOff>
    </xdr:from>
    <xdr:to>
      <xdr:col>3</xdr:col>
      <xdr:colOff>1082584</xdr:colOff>
      <xdr:row>25</xdr:row>
      <xdr:rowOff>553032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AC2694D-CCAB-B684-8ADD-E241588E9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53500" y="19762030"/>
          <a:ext cx="969917" cy="375491"/>
        </a:xfrm>
        <a:prstGeom prst="rect">
          <a:avLst/>
        </a:prstGeom>
      </xdr:spPr>
    </xdr:pic>
    <xdr:clientData/>
  </xdr:twoCellAnchor>
  <xdr:twoCellAnchor editAs="oneCell">
    <xdr:from>
      <xdr:col>3</xdr:col>
      <xdr:colOff>17419</xdr:colOff>
      <xdr:row>26</xdr:row>
      <xdr:rowOff>245370</xdr:rowOff>
    </xdr:from>
    <xdr:to>
      <xdr:col>3</xdr:col>
      <xdr:colOff>3388178</xdr:colOff>
      <xdr:row>26</xdr:row>
      <xdr:rowOff>779689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F93438-0C22-CDCE-94C2-B26A61949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862062" y="20451977"/>
          <a:ext cx="3370759" cy="541939"/>
        </a:xfrm>
        <a:prstGeom prst="rect">
          <a:avLst/>
        </a:prstGeom>
      </xdr:spPr>
    </xdr:pic>
    <xdr:clientData/>
  </xdr:twoCellAnchor>
  <xdr:twoCellAnchor editAs="oneCell">
    <xdr:from>
      <xdr:col>3</xdr:col>
      <xdr:colOff>122464</xdr:colOff>
      <xdr:row>27</xdr:row>
      <xdr:rowOff>228994</xdr:rowOff>
    </xdr:from>
    <xdr:to>
      <xdr:col>3</xdr:col>
      <xdr:colOff>1506310</xdr:colOff>
      <xdr:row>27</xdr:row>
      <xdr:rowOff>929728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0E05205-AB5A-9856-2774-BB84FFEE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67107" y="21456137"/>
          <a:ext cx="1374321" cy="696924"/>
        </a:xfrm>
        <a:prstGeom prst="rect">
          <a:avLst/>
        </a:prstGeom>
      </xdr:spPr>
    </xdr:pic>
    <xdr:clientData/>
  </xdr:twoCellAnchor>
  <xdr:twoCellAnchor editAs="oneCell">
    <xdr:from>
      <xdr:col>3</xdr:col>
      <xdr:colOff>68036</xdr:colOff>
      <xdr:row>29</xdr:row>
      <xdr:rowOff>272143</xdr:rowOff>
    </xdr:from>
    <xdr:to>
      <xdr:col>3</xdr:col>
      <xdr:colOff>1030144</xdr:colOff>
      <xdr:row>29</xdr:row>
      <xdr:rowOff>767486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CD7696B-554E-056E-91C3-A5E285A63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12679" y="23159357"/>
          <a:ext cx="962108" cy="49534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D9" sqref="D9"/>
    </sheetView>
  </sheetViews>
  <sheetFormatPr defaultRowHeight="14.4" x14ac:dyDescent="0.3"/>
  <cols>
    <col min="1" max="1" width="25" customWidth="1"/>
    <col min="2" max="2" width="31.21875" customWidth="1"/>
    <col min="3" max="3" width="15.21875" customWidth="1"/>
    <col min="4" max="4" width="15" customWidth="1"/>
  </cols>
  <sheetData>
    <row r="1" spans="1:3" ht="21" x14ac:dyDescent="0.4">
      <c r="A1" s="69" t="s">
        <v>0</v>
      </c>
      <c r="B1" s="70"/>
    </row>
    <row r="2" spans="1:3" ht="18" x14ac:dyDescent="0.35">
      <c r="A2" s="71" t="s">
        <v>329</v>
      </c>
    </row>
    <row r="4" spans="1:3" x14ac:dyDescent="0.3">
      <c r="A4" s="74" t="s">
        <v>1</v>
      </c>
      <c r="B4" s="75"/>
    </row>
    <row r="5" spans="1:3" x14ac:dyDescent="0.3">
      <c r="A5" s="8" t="s">
        <v>2</v>
      </c>
      <c r="B5" s="3" t="s">
        <v>339</v>
      </c>
    </row>
    <row r="6" spans="1:3" x14ac:dyDescent="0.3">
      <c r="A6" s="8" t="s">
        <v>3</v>
      </c>
      <c r="B6" s="3" t="s">
        <v>4</v>
      </c>
    </row>
    <row r="7" spans="1:3" x14ac:dyDescent="0.3">
      <c r="A7" s="8" t="s">
        <v>5</v>
      </c>
      <c r="B7" s="3" t="s">
        <v>6</v>
      </c>
    </row>
    <row r="8" spans="1:3" x14ac:dyDescent="0.3">
      <c r="A8" s="8" t="s">
        <v>7</v>
      </c>
      <c r="B8" s="3" t="s">
        <v>340</v>
      </c>
    </row>
    <row r="9" spans="1:3" x14ac:dyDescent="0.3">
      <c r="A9" s="8" t="s">
        <v>8</v>
      </c>
      <c r="B9" s="3" t="s">
        <v>9</v>
      </c>
    </row>
    <row r="11" spans="1:3" x14ac:dyDescent="0.3">
      <c r="A11" s="76" t="s">
        <v>10</v>
      </c>
      <c r="B11" s="77"/>
      <c r="C11" s="78"/>
    </row>
    <row r="12" spans="1:3" x14ac:dyDescent="0.3">
      <c r="A12" s="7" t="s">
        <v>11</v>
      </c>
      <c r="B12" s="7" t="s">
        <v>12</v>
      </c>
      <c r="C12" s="7" t="s">
        <v>13</v>
      </c>
    </row>
    <row r="13" spans="1:3" x14ac:dyDescent="0.3">
      <c r="A13" s="9" t="s">
        <v>14</v>
      </c>
      <c r="B13" s="11">
        <v>5</v>
      </c>
      <c r="C13" s="73" t="s">
        <v>330</v>
      </c>
    </row>
    <row r="14" spans="1:3" x14ac:dyDescent="0.3">
      <c r="A14" s="9" t="s">
        <v>15</v>
      </c>
      <c r="B14" s="11">
        <v>4</v>
      </c>
      <c r="C14" s="73" t="s">
        <v>330</v>
      </c>
    </row>
    <row r="15" spans="1:3" x14ac:dyDescent="0.3">
      <c r="A15" s="9" t="s">
        <v>16</v>
      </c>
      <c r="B15" s="11">
        <v>3</v>
      </c>
      <c r="C15" s="73" t="s">
        <v>330</v>
      </c>
    </row>
    <row r="16" spans="1:3" x14ac:dyDescent="0.3">
      <c r="A16" s="9" t="s">
        <v>17</v>
      </c>
      <c r="B16" s="11">
        <v>7</v>
      </c>
      <c r="C16" s="73" t="s">
        <v>330</v>
      </c>
    </row>
    <row r="17" spans="1:4" x14ac:dyDescent="0.3">
      <c r="A17" s="9" t="s">
        <v>18</v>
      </c>
      <c r="B17" s="11">
        <v>7</v>
      </c>
      <c r="C17" s="73" t="s">
        <v>330</v>
      </c>
    </row>
    <row r="18" spans="1:4" x14ac:dyDescent="0.3">
      <c r="A18" s="9" t="s">
        <v>19</v>
      </c>
      <c r="B18" s="11">
        <v>7</v>
      </c>
      <c r="C18" s="73" t="s">
        <v>330</v>
      </c>
    </row>
    <row r="19" spans="1:4" x14ac:dyDescent="0.3">
      <c r="A19" s="9" t="s">
        <v>20</v>
      </c>
      <c r="B19" s="11">
        <v>3</v>
      </c>
      <c r="C19" s="73" t="s">
        <v>330</v>
      </c>
    </row>
    <row r="20" spans="1:4" x14ac:dyDescent="0.3">
      <c r="A20" s="9" t="s">
        <v>21</v>
      </c>
      <c r="B20" s="11">
        <v>1</v>
      </c>
      <c r="C20" s="73" t="s">
        <v>330</v>
      </c>
    </row>
    <row r="21" spans="1:4" x14ac:dyDescent="0.3">
      <c r="A21" s="9" t="s">
        <v>22</v>
      </c>
      <c r="B21" s="11">
        <v>4</v>
      </c>
      <c r="C21" s="73" t="s">
        <v>330</v>
      </c>
    </row>
    <row r="22" spans="1:4" x14ac:dyDescent="0.3">
      <c r="A22" s="9" t="s">
        <v>23</v>
      </c>
      <c r="B22" s="11">
        <v>4</v>
      </c>
      <c r="C22" s="73" t="s">
        <v>330</v>
      </c>
    </row>
    <row r="23" spans="1:4" x14ac:dyDescent="0.3">
      <c r="A23" s="9" t="s">
        <v>24</v>
      </c>
      <c r="B23" s="11">
        <v>5</v>
      </c>
      <c r="C23" s="73" t="s">
        <v>330</v>
      </c>
    </row>
    <row r="24" spans="1:4" x14ac:dyDescent="0.3">
      <c r="A24" s="9" t="s">
        <v>25</v>
      </c>
      <c r="B24" s="11">
        <v>4</v>
      </c>
      <c r="C24" s="73" t="s">
        <v>330</v>
      </c>
    </row>
    <row r="25" spans="1:4" x14ac:dyDescent="0.3">
      <c r="A25" s="9" t="s">
        <v>26</v>
      </c>
      <c r="B25" s="11">
        <v>7</v>
      </c>
      <c r="C25" s="73" t="s">
        <v>330</v>
      </c>
    </row>
    <row r="26" spans="1:4" x14ac:dyDescent="0.3">
      <c r="A26" s="9" t="s">
        <v>27</v>
      </c>
      <c r="B26" s="11">
        <v>4</v>
      </c>
      <c r="C26" s="73" t="s">
        <v>330</v>
      </c>
    </row>
    <row r="27" spans="1:4" x14ac:dyDescent="0.3">
      <c r="A27" s="9" t="s">
        <v>28</v>
      </c>
      <c r="B27" s="11">
        <v>6</v>
      </c>
      <c r="C27" s="73" t="s">
        <v>330</v>
      </c>
    </row>
    <row r="28" spans="1:4" x14ac:dyDescent="0.3">
      <c r="A28" s="4" t="s">
        <v>29</v>
      </c>
      <c r="B28" s="4">
        <f>SUM(B13:B27)</f>
        <v>71</v>
      </c>
      <c r="C28" s="3"/>
    </row>
    <row r="30" spans="1:4" x14ac:dyDescent="0.3">
      <c r="A30" s="74" t="s">
        <v>30</v>
      </c>
      <c r="B30" s="75"/>
      <c r="C30" s="75"/>
      <c r="D30" s="75"/>
    </row>
    <row r="31" spans="1:4" x14ac:dyDescent="0.3">
      <c r="A31" s="4" t="s">
        <v>31</v>
      </c>
      <c r="B31" s="4" t="s">
        <v>32</v>
      </c>
      <c r="C31" s="4" t="s">
        <v>33</v>
      </c>
      <c r="D31" s="4" t="s">
        <v>34</v>
      </c>
    </row>
    <row r="32" spans="1:4" ht="30.6" customHeight="1" x14ac:dyDescent="0.3">
      <c r="A32" s="16" t="s">
        <v>327</v>
      </c>
      <c r="B32" s="12" t="s">
        <v>328</v>
      </c>
      <c r="C32" s="14" t="e" vm="1">
        <v>#VALUE!</v>
      </c>
      <c r="D32" s="13">
        <v>46039</v>
      </c>
    </row>
    <row r="33" spans="1:4" x14ac:dyDescent="0.3">
      <c r="A33" s="15"/>
      <c r="B33" s="3"/>
      <c r="C33" s="3"/>
      <c r="D33" s="3"/>
    </row>
    <row r="34" spans="1:4" x14ac:dyDescent="0.3">
      <c r="A34" s="15"/>
      <c r="B34" s="3"/>
      <c r="C34" s="3"/>
      <c r="D34" s="3"/>
    </row>
  </sheetData>
  <mergeCells count="3">
    <mergeCell ref="A4:B4"/>
    <mergeCell ref="A11:C11"/>
    <mergeCell ref="A30:D30"/>
  </mergeCells>
  <conditionalFormatting sqref="C13:C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{7AA988D7-3274-4804-B4F4-076B143D9E45}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C13:C27" xr:uid="{D1B087C9-82F3-4EF6-AA5B-04C16A26E433}">
      <formula1>"PASS,FAIL,In Progress"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A988D7-3274-4804-B4F4-076B143D9E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C13:C27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tabSelected="1" zoomScaleNormal="100" workbookViewId="0">
      <pane ySplit="1" topLeftCell="A52" activePane="bottomLeft" state="frozen"/>
      <selection pane="bottomLeft" activeCell="K58" sqref="K58"/>
    </sheetView>
  </sheetViews>
  <sheetFormatPr defaultRowHeight="14.4" x14ac:dyDescent="0.3"/>
  <cols>
    <col min="1" max="1" width="10" customWidth="1"/>
    <col min="2" max="2" width="20" customWidth="1"/>
    <col min="3" max="3" width="41.109375" customWidth="1"/>
    <col min="4" max="4" width="40" customWidth="1"/>
    <col min="5" max="5" width="38.21875" customWidth="1"/>
    <col min="6" max="6" width="12.88671875" customWidth="1"/>
    <col min="7" max="7" width="12" customWidth="1"/>
    <col min="8" max="8" width="12" style="18" customWidth="1"/>
    <col min="9" max="9" width="47.88671875" customWidth="1"/>
  </cols>
  <sheetData>
    <row r="1" spans="1:9" x14ac:dyDescent="0.3">
      <c r="A1" s="6" t="s">
        <v>35</v>
      </c>
      <c r="B1" s="6" t="s">
        <v>11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34</v>
      </c>
      <c r="I1" s="6" t="s">
        <v>41</v>
      </c>
    </row>
    <row r="2" spans="1:9" ht="43.2" x14ac:dyDescent="0.3">
      <c r="A2" s="22" t="s">
        <v>42</v>
      </c>
      <c r="B2" s="22" t="s">
        <v>14</v>
      </c>
      <c r="C2" s="22" t="s">
        <v>43</v>
      </c>
      <c r="D2" s="23" t="s">
        <v>326</v>
      </c>
      <c r="E2" s="23" t="s">
        <v>44</v>
      </c>
      <c r="F2" s="55" t="s">
        <v>330</v>
      </c>
      <c r="G2" s="17" t="s">
        <v>328</v>
      </c>
      <c r="H2" s="72">
        <v>46038</v>
      </c>
      <c r="I2" s="24"/>
    </row>
    <row r="3" spans="1:9" ht="28.8" x14ac:dyDescent="0.3">
      <c r="A3" s="22" t="s">
        <v>45</v>
      </c>
      <c r="B3" s="22" t="s">
        <v>14</v>
      </c>
      <c r="C3" s="22" t="s">
        <v>46</v>
      </c>
      <c r="D3" s="23" t="s">
        <v>47</v>
      </c>
      <c r="E3" s="23" t="s">
        <v>48</v>
      </c>
      <c r="F3" s="55" t="s">
        <v>330</v>
      </c>
      <c r="G3" s="17" t="s">
        <v>328</v>
      </c>
      <c r="H3" s="72">
        <v>46038</v>
      </c>
      <c r="I3" s="24"/>
    </row>
    <row r="4" spans="1:9" ht="28.8" x14ac:dyDescent="0.3">
      <c r="A4" s="22" t="s">
        <v>49</v>
      </c>
      <c r="B4" s="22" t="s">
        <v>14</v>
      </c>
      <c r="C4" s="22" t="s">
        <v>50</v>
      </c>
      <c r="D4" s="23" t="s">
        <v>51</v>
      </c>
      <c r="E4" s="23" t="s">
        <v>52</v>
      </c>
      <c r="F4" s="55" t="s">
        <v>330</v>
      </c>
      <c r="G4" s="17" t="s">
        <v>328</v>
      </c>
      <c r="H4" s="72">
        <v>46038</v>
      </c>
      <c r="I4" s="24"/>
    </row>
    <row r="5" spans="1:9" ht="28.8" x14ac:dyDescent="0.3">
      <c r="A5" s="22" t="s">
        <v>53</v>
      </c>
      <c r="B5" s="22" t="s">
        <v>14</v>
      </c>
      <c r="C5" s="22" t="s">
        <v>54</v>
      </c>
      <c r="D5" s="23" t="s">
        <v>55</v>
      </c>
      <c r="E5" s="23" t="s">
        <v>56</v>
      </c>
      <c r="F5" s="53" t="s">
        <v>331</v>
      </c>
      <c r="G5" s="17" t="s">
        <v>328</v>
      </c>
      <c r="H5" s="72" t="s">
        <v>356</v>
      </c>
      <c r="I5" s="59" t="s">
        <v>332</v>
      </c>
    </row>
    <row r="6" spans="1:9" ht="28.8" x14ac:dyDescent="0.3">
      <c r="A6" s="22" t="s">
        <v>57</v>
      </c>
      <c r="B6" s="22" t="s">
        <v>14</v>
      </c>
      <c r="C6" s="22" t="s">
        <v>58</v>
      </c>
      <c r="D6" s="23" t="s">
        <v>59</v>
      </c>
      <c r="E6" s="23" t="s">
        <v>60</v>
      </c>
      <c r="F6" s="53" t="s">
        <v>331</v>
      </c>
      <c r="G6" s="17" t="s">
        <v>328</v>
      </c>
      <c r="H6" s="72" t="s">
        <v>356</v>
      </c>
      <c r="I6" s="59" t="s">
        <v>332</v>
      </c>
    </row>
    <row r="7" spans="1:9" ht="28.8" x14ac:dyDescent="0.3">
      <c r="A7" s="25" t="s">
        <v>61</v>
      </c>
      <c r="B7" s="25" t="s">
        <v>15</v>
      </c>
      <c r="C7" s="25" t="s">
        <v>62</v>
      </c>
      <c r="D7" s="26" t="s">
        <v>63</v>
      </c>
      <c r="E7" s="26" t="s">
        <v>64</v>
      </c>
      <c r="F7" s="55" t="s">
        <v>330</v>
      </c>
      <c r="G7" s="17" t="s">
        <v>328</v>
      </c>
      <c r="H7" s="72">
        <v>46038</v>
      </c>
      <c r="I7" s="24"/>
    </row>
    <row r="8" spans="1:9" ht="28.8" x14ac:dyDescent="0.3">
      <c r="A8" s="25" t="s">
        <v>65</v>
      </c>
      <c r="B8" s="25" t="s">
        <v>15</v>
      </c>
      <c r="C8" s="25" t="s">
        <v>66</v>
      </c>
      <c r="D8" s="26" t="s">
        <v>67</v>
      </c>
      <c r="E8" s="26" t="s">
        <v>68</v>
      </c>
      <c r="F8" s="55" t="s">
        <v>330</v>
      </c>
      <c r="G8" s="17" t="s">
        <v>328</v>
      </c>
      <c r="H8" s="72">
        <v>46038</v>
      </c>
      <c r="I8" s="24"/>
    </row>
    <row r="9" spans="1:9" ht="28.8" x14ac:dyDescent="0.3">
      <c r="A9" s="25" t="s">
        <v>69</v>
      </c>
      <c r="B9" s="25" t="s">
        <v>15</v>
      </c>
      <c r="C9" s="25" t="s">
        <v>71</v>
      </c>
      <c r="D9" s="26" t="s">
        <v>72</v>
      </c>
      <c r="E9" s="26" t="s">
        <v>73</v>
      </c>
      <c r="F9" s="55" t="s">
        <v>330</v>
      </c>
      <c r="G9" s="17" t="s">
        <v>328</v>
      </c>
      <c r="H9" s="72">
        <v>46038</v>
      </c>
      <c r="I9" s="24"/>
    </row>
    <row r="10" spans="1:9" x14ac:dyDescent="0.3">
      <c r="A10" s="25" t="s">
        <v>70</v>
      </c>
      <c r="B10" s="25" t="s">
        <v>15</v>
      </c>
      <c r="C10" s="25" t="s">
        <v>75</v>
      </c>
      <c r="D10" s="26" t="s">
        <v>76</v>
      </c>
      <c r="E10" s="26" t="s">
        <v>77</v>
      </c>
      <c r="F10" s="55" t="s">
        <v>330</v>
      </c>
      <c r="G10" s="17" t="s">
        <v>328</v>
      </c>
      <c r="H10" s="72">
        <v>46038</v>
      </c>
      <c r="I10" s="24"/>
    </row>
    <row r="11" spans="1:9" ht="28.8" x14ac:dyDescent="0.3">
      <c r="A11" s="27" t="s">
        <v>74</v>
      </c>
      <c r="B11" s="27" t="s">
        <v>16</v>
      </c>
      <c r="C11" s="27" t="s">
        <v>79</v>
      </c>
      <c r="D11" s="28" t="s">
        <v>80</v>
      </c>
      <c r="E11" s="28" t="s">
        <v>334</v>
      </c>
      <c r="F11" s="55" t="s">
        <v>330</v>
      </c>
      <c r="G11" s="17" t="s">
        <v>328</v>
      </c>
      <c r="H11" s="72">
        <v>46038</v>
      </c>
      <c r="I11" s="24"/>
    </row>
    <row r="12" spans="1:9" ht="28.8" x14ac:dyDescent="0.3">
      <c r="A12" s="27" t="s">
        <v>78</v>
      </c>
      <c r="B12" s="27" t="s">
        <v>16</v>
      </c>
      <c r="C12" s="27" t="s">
        <v>82</v>
      </c>
      <c r="D12" s="28" t="s">
        <v>83</v>
      </c>
      <c r="E12" s="28" t="s">
        <v>84</v>
      </c>
      <c r="F12" s="55" t="s">
        <v>330</v>
      </c>
      <c r="G12" s="17" t="s">
        <v>328</v>
      </c>
      <c r="H12" s="72">
        <v>46038</v>
      </c>
      <c r="I12" s="24"/>
    </row>
    <row r="13" spans="1:9" x14ac:dyDescent="0.3">
      <c r="A13" s="27" t="s">
        <v>81</v>
      </c>
      <c r="B13" s="27" t="s">
        <v>16</v>
      </c>
      <c r="C13" s="27" t="s">
        <v>87</v>
      </c>
      <c r="D13" s="28" t="s">
        <v>88</v>
      </c>
      <c r="E13" s="28" t="s">
        <v>89</v>
      </c>
      <c r="F13" s="55" t="s">
        <v>330</v>
      </c>
      <c r="G13" s="17" t="s">
        <v>328</v>
      </c>
      <c r="H13" s="72">
        <v>46038</v>
      </c>
      <c r="I13" s="24"/>
    </row>
    <row r="14" spans="1:9" ht="57.6" x14ac:dyDescent="0.3">
      <c r="A14" s="29" t="s">
        <v>85</v>
      </c>
      <c r="B14" s="29" t="s">
        <v>17</v>
      </c>
      <c r="C14" s="29" t="s">
        <v>91</v>
      </c>
      <c r="D14" s="30" t="s">
        <v>336</v>
      </c>
      <c r="E14" s="30" t="s">
        <v>92</v>
      </c>
      <c r="F14" s="55" t="s">
        <v>330</v>
      </c>
      <c r="G14" s="17" t="s">
        <v>328</v>
      </c>
      <c r="H14" s="72">
        <v>46038</v>
      </c>
      <c r="I14" s="24"/>
    </row>
    <row r="15" spans="1:9" ht="28.8" x14ac:dyDescent="0.3">
      <c r="A15" s="29" t="s">
        <v>86</v>
      </c>
      <c r="B15" s="29" t="s">
        <v>17</v>
      </c>
      <c r="C15" s="29" t="s">
        <v>94</v>
      </c>
      <c r="D15" s="30" t="s">
        <v>95</v>
      </c>
      <c r="E15" s="30" t="s">
        <v>92</v>
      </c>
      <c r="F15" s="55" t="s">
        <v>330</v>
      </c>
      <c r="G15" s="17" t="s">
        <v>328</v>
      </c>
      <c r="H15" s="72">
        <v>46038</v>
      </c>
      <c r="I15" s="24"/>
    </row>
    <row r="16" spans="1:9" ht="28.8" x14ac:dyDescent="0.3">
      <c r="A16" s="29" t="s">
        <v>352</v>
      </c>
      <c r="B16" s="29" t="s">
        <v>17</v>
      </c>
      <c r="C16" s="29" t="s">
        <v>97</v>
      </c>
      <c r="D16" s="30" t="s">
        <v>98</v>
      </c>
      <c r="E16" s="30" t="s">
        <v>92</v>
      </c>
      <c r="F16" s="55" t="s">
        <v>330</v>
      </c>
      <c r="G16" s="17" t="s">
        <v>328</v>
      </c>
      <c r="H16" s="72">
        <v>46038</v>
      </c>
      <c r="I16" s="24"/>
    </row>
    <row r="17" spans="1:9" ht="28.8" x14ac:dyDescent="0.3">
      <c r="A17" s="29" t="s">
        <v>90</v>
      </c>
      <c r="B17" s="29" t="s">
        <v>17</v>
      </c>
      <c r="C17" s="29" t="s">
        <v>100</v>
      </c>
      <c r="D17" s="30" t="s">
        <v>101</v>
      </c>
      <c r="E17" s="30" t="s">
        <v>102</v>
      </c>
      <c r="F17" s="55" t="s">
        <v>330</v>
      </c>
      <c r="G17" s="17" t="s">
        <v>328</v>
      </c>
      <c r="H17" s="72">
        <v>46038</v>
      </c>
      <c r="I17" s="24"/>
    </row>
    <row r="18" spans="1:9" ht="28.8" x14ac:dyDescent="0.3">
      <c r="A18" s="29" t="s">
        <v>93</v>
      </c>
      <c r="B18" s="29" t="s">
        <v>17</v>
      </c>
      <c r="C18" s="29" t="s">
        <v>104</v>
      </c>
      <c r="D18" s="30" t="s">
        <v>105</v>
      </c>
      <c r="E18" s="30" t="s">
        <v>106</v>
      </c>
      <c r="F18" s="55" t="s">
        <v>330</v>
      </c>
      <c r="G18" s="17" t="s">
        <v>328</v>
      </c>
      <c r="H18" s="72">
        <v>46038</v>
      </c>
      <c r="I18" s="24"/>
    </row>
    <row r="19" spans="1:9" ht="28.8" x14ac:dyDescent="0.3">
      <c r="A19" s="29" t="s">
        <v>96</v>
      </c>
      <c r="B19" s="29" t="s">
        <v>17</v>
      </c>
      <c r="C19" s="29" t="s">
        <v>108</v>
      </c>
      <c r="D19" s="30" t="s">
        <v>109</v>
      </c>
      <c r="E19" s="30" t="s">
        <v>110</v>
      </c>
      <c r="F19" s="55" t="s">
        <v>330</v>
      </c>
      <c r="G19" s="17" t="s">
        <v>328</v>
      </c>
      <c r="H19" s="72">
        <v>46038</v>
      </c>
      <c r="I19" s="24"/>
    </row>
    <row r="20" spans="1:9" x14ac:dyDescent="0.3">
      <c r="A20" s="29" t="s">
        <v>99</v>
      </c>
      <c r="B20" s="29" t="s">
        <v>17</v>
      </c>
      <c r="C20" s="29" t="s">
        <v>112</v>
      </c>
      <c r="D20" s="30" t="s">
        <v>113</v>
      </c>
      <c r="E20" s="30" t="s">
        <v>114</v>
      </c>
      <c r="F20" s="55" t="s">
        <v>330</v>
      </c>
      <c r="G20" s="17" t="s">
        <v>328</v>
      </c>
      <c r="H20" s="72">
        <v>46038</v>
      </c>
      <c r="I20" s="24"/>
    </row>
    <row r="21" spans="1:9" ht="28.8" x14ac:dyDescent="0.3">
      <c r="A21" s="31" t="s">
        <v>353</v>
      </c>
      <c r="B21" s="31" t="s">
        <v>18</v>
      </c>
      <c r="C21" s="31" t="s">
        <v>116</v>
      </c>
      <c r="D21" s="32" t="s">
        <v>117</v>
      </c>
      <c r="E21" s="32" t="s">
        <v>118</v>
      </c>
      <c r="F21" s="55" t="s">
        <v>330</v>
      </c>
      <c r="G21" s="17" t="s">
        <v>328</v>
      </c>
      <c r="H21" s="72">
        <v>46039</v>
      </c>
      <c r="I21" s="24"/>
    </row>
    <row r="22" spans="1:9" ht="28.8" x14ac:dyDescent="0.3">
      <c r="A22" s="31" t="s">
        <v>103</v>
      </c>
      <c r="B22" s="31" t="s">
        <v>18</v>
      </c>
      <c r="C22" s="31" t="s">
        <v>120</v>
      </c>
      <c r="D22" s="32" t="s">
        <v>121</v>
      </c>
      <c r="E22" s="32" t="s">
        <v>122</v>
      </c>
      <c r="F22" s="55" t="s">
        <v>330</v>
      </c>
      <c r="G22" s="17" t="s">
        <v>328</v>
      </c>
      <c r="H22" s="72">
        <v>46039</v>
      </c>
      <c r="I22" s="24"/>
    </row>
    <row r="23" spans="1:9" ht="28.8" x14ac:dyDescent="0.3">
      <c r="A23" s="31" t="s">
        <v>107</v>
      </c>
      <c r="B23" s="31" t="s">
        <v>18</v>
      </c>
      <c r="C23" s="31" t="s">
        <v>124</v>
      </c>
      <c r="D23" s="32" t="s">
        <v>125</v>
      </c>
      <c r="E23" s="32" t="s">
        <v>126</v>
      </c>
      <c r="F23" s="55" t="s">
        <v>330</v>
      </c>
      <c r="G23" s="17" t="s">
        <v>328</v>
      </c>
      <c r="H23" s="72">
        <v>46039</v>
      </c>
      <c r="I23" s="24"/>
    </row>
    <row r="24" spans="1:9" x14ac:dyDescent="0.3">
      <c r="A24" s="31" t="s">
        <v>111</v>
      </c>
      <c r="B24" s="31" t="s">
        <v>18</v>
      </c>
      <c r="C24" s="31" t="s">
        <v>128</v>
      </c>
      <c r="D24" s="32" t="s">
        <v>129</v>
      </c>
      <c r="E24" s="32" t="s">
        <v>130</v>
      </c>
      <c r="F24" s="55" t="s">
        <v>330</v>
      </c>
      <c r="G24" s="17" t="s">
        <v>328</v>
      </c>
      <c r="H24" s="72">
        <v>46039</v>
      </c>
      <c r="I24" s="24"/>
    </row>
    <row r="25" spans="1:9" x14ac:dyDescent="0.3">
      <c r="A25" s="31" t="s">
        <v>115</v>
      </c>
      <c r="B25" s="31" t="s">
        <v>18</v>
      </c>
      <c r="C25" s="31" t="s">
        <v>132</v>
      </c>
      <c r="D25" s="32" t="s">
        <v>133</v>
      </c>
      <c r="E25" s="32" t="s">
        <v>134</v>
      </c>
      <c r="F25" s="55" t="s">
        <v>330</v>
      </c>
      <c r="G25" s="17" t="s">
        <v>328</v>
      </c>
      <c r="H25" s="72">
        <v>46039</v>
      </c>
      <c r="I25" s="24"/>
    </row>
    <row r="26" spans="1:9" x14ac:dyDescent="0.3">
      <c r="A26" s="31" t="s">
        <v>119</v>
      </c>
      <c r="B26" s="31" t="s">
        <v>18</v>
      </c>
      <c r="C26" s="31" t="s">
        <v>136</v>
      </c>
      <c r="D26" s="32" t="s">
        <v>137</v>
      </c>
      <c r="E26" s="32" t="s">
        <v>138</v>
      </c>
      <c r="F26" s="55" t="s">
        <v>330</v>
      </c>
      <c r="G26" s="17" t="s">
        <v>328</v>
      </c>
      <c r="H26" s="72">
        <v>46039</v>
      </c>
      <c r="I26" s="24"/>
    </row>
    <row r="27" spans="1:9" x14ac:dyDescent="0.3">
      <c r="A27" s="56" t="s">
        <v>123</v>
      </c>
      <c r="B27" s="56" t="s">
        <v>18</v>
      </c>
      <c r="C27" s="56" t="s">
        <v>140</v>
      </c>
      <c r="D27" s="57" t="s">
        <v>141</v>
      </c>
      <c r="E27" s="57" t="s">
        <v>142</v>
      </c>
      <c r="F27" s="55" t="s">
        <v>330</v>
      </c>
      <c r="G27" s="17" t="s">
        <v>328</v>
      </c>
      <c r="H27" s="72" t="s">
        <v>356</v>
      </c>
      <c r="I27" s="54" t="s">
        <v>355</v>
      </c>
    </row>
    <row r="28" spans="1:9" x14ac:dyDescent="0.3">
      <c r="A28" s="33" t="s">
        <v>127</v>
      </c>
      <c r="B28" s="33" t="s">
        <v>19</v>
      </c>
      <c r="C28" s="33" t="s">
        <v>144</v>
      </c>
      <c r="D28" s="34" t="s">
        <v>145</v>
      </c>
      <c r="E28" s="34" t="s">
        <v>146</v>
      </c>
      <c r="F28" s="55" t="s">
        <v>330</v>
      </c>
      <c r="G28" s="17" t="s">
        <v>328</v>
      </c>
      <c r="H28" s="72">
        <v>46039</v>
      </c>
      <c r="I28" s="24"/>
    </row>
    <row r="29" spans="1:9" ht="28.8" x14ac:dyDescent="0.3">
      <c r="A29" s="33" t="s">
        <v>131</v>
      </c>
      <c r="B29" s="33" t="s">
        <v>19</v>
      </c>
      <c r="C29" s="33" t="s">
        <v>148</v>
      </c>
      <c r="D29" s="34" t="s">
        <v>149</v>
      </c>
      <c r="E29" s="34" t="s">
        <v>150</v>
      </c>
      <c r="F29" s="55" t="s">
        <v>330</v>
      </c>
      <c r="G29" s="17" t="s">
        <v>328</v>
      </c>
      <c r="H29" s="72">
        <v>46039</v>
      </c>
      <c r="I29" s="24"/>
    </row>
    <row r="30" spans="1:9" x14ac:dyDescent="0.3">
      <c r="A30" s="33" t="s">
        <v>135</v>
      </c>
      <c r="B30" s="33" t="s">
        <v>19</v>
      </c>
      <c r="C30" s="33" t="s">
        <v>152</v>
      </c>
      <c r="D30" s="34" t="s">
        <v>153</v>
      </c>
      <c r="E30" s="34" t="s">
        <v>154</v>
      </c>
      <c r="F30" s="55" t="s">
        <v>330</v>
      </c>
      <c r="G30" s="17" t="s">
        <v>328</v>
      </c>
      <c r="H30" s="72">
        <v>46039</v>
      </c>
      <c r="I30" s="24"/>
    </row>
    <row r="31" spans="1:9" ht="28.8" x14ac:dyDescent="0.3">
      <c r="A31" s="33" t="s">
        <v>139</v>
      </c>
      <c r="B31" s="33" t="s">
        <v>19</v>
      </c>
      <c r="C31" s="33" t="s">
        <v>156</v>
      </c>
      <c r="D31" s="34" t="s">
        <v>157</v>
      </c>
      <c r="E31" s="34" t="s">
        <v>158</v>
      </c>
      <c r="F31" s="55" t="s">
        <v>330</v>
      </c>
      <c r="G31" s="17" t="s">
        <v>328</v>
      </c>
      <c r="H31" s="72">
        <v>46039</v>
      </c>
      <c r="I31" s="24"/>
    </row>
    <row r="32" spans="1:9" ht="28.8" x14ac:dyDescent="0.3">
      <c r="A32" s="33" t="s">
        <v>354</v>
      </c>
      <c r="B32" s="33" t="s">
        <v>19</v>
      </c>
      <c r="C32" s="33" t="s">
        <v>160</v>
      </c>
      <c r="D32" s="34" t="s">
        <v>161</v>
      </c>
      <c r="E32" s="34" t="s">
        <v>162</v>
      </c>
      <c r="F32" s="55" t="s">
        <v>330</v>
      </c>
      <c r="G32" s="17" t="s">
        <v>328</v>
      </c>
      <c r="H32" s="72">
        <v>46039</v>
      </c>
      <c r="I32" s="24"/>
    </row>
    <row r="33" spans="1:9" x14ac:dyDescent="0.3">
      <c r="A33" s="33" t="s">
        <v>143</v>
      </c>
      <c r="B33" s="33" t="s">
        <v>19</v>
      </c>
      <c r="C33" s="33" t="s">
        <v>164</v>
      </c>
      <c r="D33" s="34" t="s">
        <v>165</v>
      </c>
      <c r="E33" s="34" t="s">
        <v>166</v>
      </c>
      <c r="F33" s="55" t="s">
        <v>330</v>
      </c>
      <c r="G33" s="17" t="s">
        <v>328</v>
      </c>
      <c r="H33" s="72">
        <v>46039</v>
      </c>
      <c r="I33" s="24"/>
    </row>
    <row r="34" spans="1:9" ht="28.8" x14ac:dyDescent="0.3">
      <c r="A34" s="33" t="s">
        <v>147</v>
      </c>
      <c r="B34" s="33" t="s">
        <v>19</v>
      </c>
      <c r="C34" s="33" t="s">
        <v>168</v>
      </c>
      <c r="D34" s="34" t="s">
        <v>169</v>
      </c>
      <c r="E34" s="34" t="s">
        <v>170</v>
      </c>
      <c r="F34" s="55" t="s">
        <v>330</v>
      </c>
      <c r="G34" s="17" t="s">
        <v>328</v>
      </c>
      <c r="H34" s="72">
        <v>46039</v>
      </c>
      <c r="I34" s="24"/>
    </row>
    <row r="35" spans="1:9" x14ac:dyDescent="0.3">
      <c r="A35" s="35" t="s">
        <v>151</v>
      </c>
      <c r="B35" s="35" t="s">
        <v>20</v>
      </c>
      <c r="C35" s="35" t="s">
        <v>176</v>
      </c>
      <c r="D35" s="36" t="s">
        <v>177</v>
      </c>
      <c r="E35" s="36" t="s">
        <v>178</v>
      </c>
      <c r="F35" s="55" t="s">
        <v>330</v>
      </c>
      <c r="G35" s="17" t="s">
        <v>328</v>
      </c>
      <c r="H35" s="72">
        <v>46039</v>
      </c>
      <c r="I35" s="24"/>
    </row>
    <row r="36" spans="1:9" ht="28.8" x14ac:dyDescent="0.3">
      <c r="A36" s="35" t="s">
        <v>155</v>
      </c>
      <c r="B36" s="35" t="s">
        <v>20</v>
      </c>
      <c r="C36" s="35" t="s">
        <v>172</v>
      </c>
      <c r="D36" s="36" t="s">
        <v>173</v>
      </c>
      <c r="E36" s="36" t="s">
        <v>174</v>
      </c>
      <c r="F36" s="55" t="s">
        <v>330</v>
      </c>
      <c r="G36" s="17" t="s">
        <v>328</v>
      </c>
      <c r="H36" s="72">
        <v>46039</v>
      </c>
      <c r="I36" s="24"/>
    </row>
    <row r="37" spans="1:9" x14ac:dyDescent="0.3">
      <c r="A37" s="35" t="s">
        <v>159</v>
      </c>
      <c r="B37" s="35" t="s">
        <v>20</v>
      </c>
      <c r="C37" s="35" t="s">
        <v>180</v>
      </c>
      <c r="D37" s="36" t="s">
        <v>181</v>
      </c>
      <c r="E37" s="36" t="s">
        <v>182</v>
      </c>
      <c r="F37" s="55" t="s">
        <v>330</v>
      </c>
      <c r="G37" s="17" t="s">
        <v>328</v>
      </c>
      <c r="H37" s="72">
        <v>46039</v>
      </c>
      <c r="I37" s="24"/>
    </row>
    <row r="38" spans="1:9" x14ac:dyDescent="0.3">
      <c r="A38" s="37" t="s">
        <v>163</v>
      </c>
      <c r="B38" s="37" t="s">
        <v>21</v>
      </c>
      <c r="C38" s="37" t="s">
        <v>185</v>
      </c>
      <c r="D38" s="38" t="s">
        <v>186</v>
      </c>
      <c r="E38" s="38" t="s">
        <v>187</v>
      </c>
      <c r="F38" s="55" t="s">
        <v>330</v>
      </c>
      <c r="G38" s="17" t="s">
        <v>328</v>
      </c>
      <c r="H38" s="72">
        <v>46039</v>
      </c>
      <c r="I38" s="24"/>
    </row>
    <row r="39" spans="1:9" x14ac:dyDescent="0.3">
      <c r="A39" s="39" t="s">
        <v>167</v>
      </c>
      <c r="B39" s="39" t="s">
        <v>22</v>
      </c>
      <c r="C39" s="39" t="s">
        <v>192</v>
      </c>
      <c r="D39" s="40" t="s">
        <v>193</v>
      </c>
      <c r="E39" s="40" t="s">
        <v>194</v>
      </c>
      <c r="F39" s="55" t="s">
        <v>330</v>
      </c>
      <c r="G39" s="17" t="s">
        <v>328</v>
      </c>
      <c r="H39" s="72">
        <v>46039</v>
      </c>
      <c r="I39" s="24"/>
    </row>
    <row r="40" spans="1:9" x14ac:dyDescent="0.3">
      <c r="A40" s="39" t="s">
        <v>171</v>
      </c>
      <c r="B40" s="39" t="s">
        <v>22</v>
      </c>
      <c r="C40" s="39" t="s">
        <v>196</v>
      </c>
      <c r="D40" s="40" t="s">
        <v>197</v>
      </c>
      <c r="E40" s="40" t="s">
        <v>198</v>
      </c>
      <c r="F40" s="55" t="s">
        <v>330</v>
      </c>
      <c r="G40" s="17" t="s">
        <v>328</v>
      </c>
      <c r="H40" s="72">
        <v>46039</v>
      </c>
      <c r="I40" s="24"/>
    </row>
    <row r="41" spans="1:9" x14ac:dyDescent="0.3">
      <c r="A41" s="39" t="s">
        <v>175</v>
      </c>
      <c r="B41" s="39" t="s">
        <v>22</v>
      </c>
      <c r="C41" s="39" t="s">
        <v>200</v>
      </c>
      <c r="D41" s="40" t="s">
        <v>201</v>
      </c>
      <c r="E41" s="40" t="s">
        <v>202</v>
      </c>
      <c r="F41" s="55" t="s">
        <v>330</v>
      </c>
      <c r="G41" s="17" t="s">
        <v>328</v>
      </c>
      <c r="H41" s="72">
        <v>46039</v>
      </c>
      <c r="I41" s="24"/>
    </row>
    <row r="42" spans="1:9" x14ac:dyDescent="0.3">
      <c r="A42" s="39" t="s">
        <v>179</v>
      </c>
      <c r="B42" s="39" t="s">
        <v>22</v>
      </c>
      <c r="C42" s="39" t="s">
        <v>204</v>
      </c>
      <c r="D42" s="40" t="s">
        <v>205</v>
      </c>
      <c r="E42" s="40" t="s">
        <v>206</v>
      </c>
      <c r="F42" s="55" t="s">
        <v>330</v>
      </c>
      <c r="G42" s="17" t="s">
        <v>328</v>
      </c>
      <c r="H42" s="72">
        <v>46039</v>
      </c>
      <c r="I42" s="24"/>
    </row>
    <row r="43" spans="1:9" ht="28.8" x14ac:dyDescent="0.3">
      <c r="A43" s="41" t="s">
        <v>183</v>
      </c>
      <c r="B43" s="41" t="s">
        <v>23</v>
      </c>
      <c r="C43" s="41" t="s">
        <v>208</v>
      </c>
      <c r="D43" s="42" t="s">
        <v>209</v>
      </c>
      <c r="E43" s="42" t="s">
        <v>210</v>
      </c>
      <c r="F43" s="55" t="s">
        <v>330</v>
      </c>
      <c r="G43" s="17" t="s">
        <v>328</v>
      </c>
      <c r="H43" s="72">
        <v>46039</v>
      </c>
      <c r="I43" s="24"/>
    </row>
    <row r="44" spans="1:9" x14ac:dyDescent="0.3">
      <c r="A44" s="41" t="s">
        <v>184</v>
      </c>
      <c r="B44" s="41" t="s">
        <v>23</v>
      </c>
      <c r="C44" s="41" t="s">
        <v>212</v>
      </c>
      <c r="D44" s="42" t="s">
        <v>213</v>
      </c>
      <c r="E44" s="42" t="s">
        <v>214</v>
      </c>
      <c r="F44" s="55" t="s">
        <v>330</v>
      </c>
      <c r="G44" s="17" t="s">
        <v>328</v>
      </c>
      <c r="H44" s="72">
        <v>46039</v>
      </c>
      <c r="I44" s="24"/>
    </row>
    <row r="45" spans="1:9" x14ac:dyDescent="0.3">
      <c r="A45" s="41" t="s">
        <v>188</v>
      </c>
      <c r="B45" s="41" t="s">
        <v>23</v>
      </c>
      <c r="C45" s="41" t="s">
        <v>216</v>
      </c>
      <c r="D45" s="42" t="s">
        <v>217</v>
      </c>
      <c r="E45" s="42" t="s">
        <v>218</v>
      </c>
      <c r="F45" s="55" t="s">
        <v>330</v>
      </c>
      <c r="G45" s="17" t="s">
        <v>328</v>
      </c>
      <c r="H45" s="72">
        <v>46039</v>
      </c>
      <c r="I45" s="24"/>
    </row>
    <row r="46" spans="1:9" x14ac:dyDescent="0.3">
      <c r="A46" s="41" t="s">
        <v>189</v>
      </c>
      <c r="B46" s="41" t="s">
        <v>23</v>
      </c>
      <c r="C46" s="41" t="s">
        <v>221</v>
      </c>
      <c r="D46" s="42" t="s">
        <v>222</v>
      </c>
      <c r="E46" s="42" t="s">
        <v>223</v>
      </c>
      <c r="F46" s="55" t="s">
        <v>330</v>
      </c>
      <c r="G46" s="17" t="s">
        <v>328</v>
      </c>
      <c r="H46" s="72">
        <v>46039</v>
      </c>
      <c r="I46" s="24"/>
    </row>
    <row r="47" spans="1:9" x14ac:dyDescent="0.3">
      <c r="A47" s="43" t="s">
        <v>190</v>
      </c>
      <c r="B47" s="43" t="s">
        <v>24</v>
      </c>
      <c r="C47" s="43" t="s">
        <v>226</v>
      </c>
      <c r="D47" s="44" t="s">
        <v>227</v>
      </c>
      <c r="E47" s="44" t="s">
        <v>228</v>
      </c>
      <c r="F47" s="55" t="s">
        <v>330</v>
      </c>
      <c r="G47" s="17" t="s">
        <v>328</v>
      </c>
      <c r="H47" s="72">
        <v>46039</v>
      </c>
      <c r="I47" s="24"/>
    </row>
    <row r="48" spans="1:9" x14ac:dyDescent="0.3">
      <c r="A48" s="43" t="s">
        <v>191</v>
      </c>
      <c r="B48" s="43" t="s">
        <v>24</v>
      </c>
      <c r="C48" s="43" t="s">
        <v>230</v>
      </c>
      <c r="D48" s="44" t="s">
        <v>231</v>
      </c>
      <c r="E48" s="44" t="s">
        <v>232</v>
      </c>
      <c r="F48" s="55" t="s">
        <v>330</v>
      </c>
      <c r="G48" s="17" t="s">
        <v>328</v>
      </c>
      <c r="H48" s="72">
        <v>46039</v>
      </c>
      <c r="I48" s="24"/>
    </row>
    <row r="49" spans="1:9" x14ac:dyDescent="0.3">
      <c r="A49" s="43" t="s">
        <v>195</v>
      </c>
      <c r="B49" s="43" t="s">
        <v>24</v>
      </c>
      <c r="C49" s="43" t="s">
        <v>234</v>
      </c>
      <c r="D49" s="44" t="s">
        <v>235</v>
      </c>
      <c r="E49" s="44" t="s">
        <v>236</v>
      </c>
      <c r="F49" s="55" t="s">
        <v>330</v>
      </c>
      <c r="G49" s="17" t="s">
        <v>328</v>
      </c>
      <c r="H49" s="72">
        <v>46039</v>
      </c>
      <c r="I49" s="24"/>
    </row>
    <row r="50" spans="1:9" x14ac:dyDescent="0.3">
      <c r="A50" s="43" t="s">
        <v>199</v>
      </c>
      <c r="B50" s="43" t="s">
        <v>24</v>
      </c>
      <c r="C50" s="43" t="s">
        <v>238</v>
      </c>
      <c r="D50" s="44" t="s">
        <v>239</v>
      </c>
      <c r="E50" s="44" t="s">
        <v>240</v>
      </c>
      <c r="F50" s="55" t="s">
        <v>330</v>
      </c>
      <c r="G50" s="17" t="s">
        <v>328</v>
      </c>
      <c r="H50" s="72">
        <v>46039</v>
      </c>
      <c r="I50" s="24"/>
    </row>
    <row r="51" spans="1:9" x14ac:dyDescent="0.3">
      <c r="A51" s="43" t="s">
        <v>203</v>
      </c>
      <c r="B51" s="43" t="s">
        <v>24</v>
      </c>
      <c r="C51" s="43" t="s">
        <v>242</v>
      </c>
      <c r="D51" s="44" t="s">
        <v>243</v>
      </c>
      <c r="E51" s="44" t="s">
        <v>244</v>
      </c>
      <c r="F51" s="55" t="s">
        <v>330</v>
      </c>
      <c r="G51" s="17" t="s">
        <v>328</v>
      </c>
      <c r="H51" s="72">
        <v>46039</v>
      </c>
      <c r="I51" s="24"/>
    </row>
    <row r="52" spans="1:9" ht="43.8" customHeight="1" x14ac:dyDescent="0.3">
      <c r="A52" s="45" t="s">
        <v>207</v>
      </c>
      <c r="B52" s="45" t="s">
        <v>25</v>
      </c>
      <c r="C52" s="45" t="s">
        <v>246</v>
      </c>
      <c r="D52" s="46" t="s">
        <v>247</v>
      </c>
      <c r="E52" s="46" t="s">
        <v>248</v>
      </c>
      <c r="F52" s="55" t="s">
        <v>330</v>
      </c>
      <c r="G52" s="17" t="s">
        <v>328</v>
      </c>
      <c r="H52" s="72">
        <v>46039</v>
      </c>
      <c r="I52" s="24" t="e" vm="2">
        <v>#VALUE!</v>
      </c>
    </row>
    <row r="53" spans="1:9" x14ac:dyDescent="0.3">
      <c r="A53" s="45" t="s">
        <v>211</v>
      </c>
      <c r="B53" s="45" t="s">
        <v>25</v>
      </c>
      <c r="C53" s="45" t="s">
        <v>250</v>
      </c>
      <c r="D53" s="46" t="s">
        <v>358</v>
      </c>
      <c r="E53" s="46" t="s">
        <v>359</v>
      </c>
      <c r="F53" s="55" t="s">
        <v>330</v>
      </c>
      <c r="G53" s="17" t="s">
        <v>328</v>
      </c>
      <c r="H53" s="72" t="s">
        <v>356</v>
      </c>
      <c r="I53" s="54" t="s">
        <v>357</v>
      </c>
    </row>
    <row r="54" spans="1:9" ht="140.4" customHeight="1" x14ac:dyDescent="0.3">
      <c r="A54" s="45" t="s">
        <v>215</v>
      </c>
      <c r="B54" s="45" t="s">
        <v>25</v>
      </c>
      <c r="C54" s="45" t="s">
        <v>252</v>
      </c>
      <c r="D54" s="46" t="s">
        <v>348</v>
      </c>
      <c r="E54" s="46" t="s">
        <v>253</v>
      </c>
      <c r="F54" s="55" t="s">
        <v>330</v>
      </c>
      <c r="G54" s="17" t="s">
        <v>328</v>
      </c>
      <c r="H54" s="72">
        <v>46039</v>
      </c>
      <c r="I54" s="58" t="e" vm="3">
        <v>#VALUE!</v>
      </c>
    </row>
    <row r="55" spans="1:9" x14ac:dyDescent="0.3">
      <c r="A55" s="45" t="s">
        <v>219</v>
      </c>
      <c r="B55" s="45" t="s">
        <v>25</v>
      </c>
      <c r="C55" s="45" t="s">
        <v>255</v>
      </c>
      <c r="D55" s="46" t="s">
        <v>256</v>
      </c>
      <c r="E55" s="46" t="s">
        <v>257</v>
      </c>
      <c r="F55" s="55" t="s">
        <v>330</v>
      </c>
      <c r="G55" s="17" t="s">
        <v>328</v>
      </c>
      <c r="H55" s="72">
        <v>46039</v>
      </c>
      <c r="I55" s="24"/>
    </row>
    <row r="56" spans="1:9" x14ac:dyDescent="0.3">
      <c r="A56" s="47" t="s">
        <v>220</v>
      </c>
      <c r="B56" s="47" t="s">
        <v>26</v>
      </c>
      <c r="C56" s="47" t="s">
        <v>260</v>
      </c>
      <c r="D56" s="48" t="s">
        <v>261</v>
      </c>
      <c r="E56" s="48" t="s">
        <v>262</v>
      </c>
      <c r="F56" s="55" t="s">
        <v>330</v>
      </c>
      <c r="G56" s="17" t="s">
        <v>328</v>
      </c>
      <c r="H56" s="72">
        <v>46039</v>
      </c>
      <c r="I56" s="24"/>
    </row>
    <row r="57" spans="1:9" x14ac:dyDescent="0.3">
      <c r="A57" s="47" t="s">
        <v>224</v>
      </c>
      <c r="B57" s="47" t="s">
        <v>26</v>
      </c>
      <c r="C57" s="47" t="s">
        <v>264</v>
      </c>
      <c r="D57" s="48" t="s">
        <v>125</v>
      </c>
      <c r="E57" s="48" t="s">
        <v>265</v>
      </c>
      <c r="F57" s="55" t="s">
        <v>330</v>
      </c>
      <c r="G57" s="17" t="s">
        <v>328</v>
      </c>
      <c r="H57" s="72">
        <v>46039</v>
      </c>
      <c r="I57" s="24"/>
    </row>
    <row r="58" spans="1:9" x14ac:dyDescent="0.3">
      <c r="A58" s="47" t="s">
        <v>225</v>
      </c>
      <c r="B58" s="47" t="s">
        <v>26</v>
      </c>
      <c r="C58" s="47" t="s">
        <v>267</v>
      </c>
      <c r="D58" s="48" t="s">
        <v>268</v>
      </c>
      <c r="E58" s="48" t="s">
        <v>269</v>
      </c>
      <c r="F58" s="55" t="s">
        <v>330</v>
      </c>
      <c r="G58" s="17" t="s">
        <v>328</v>
      </c>
      <c r="H58" s="72">
        <v>46039</v>
      </c>
      <c r="I58" s="24"/>
    </row>
    <row r="59" spans="1:9" ht="28.8" x14ac:dyDescent="0.3">
      <c r="A59" s="47" t="s">
        <v>229</v>
      </c>
      <c r="B59" s="47" t="s">
        <v>26</v>
      </c>
      <c r="C59" s="47" t="s">
        <v>272</v>
      </c>
      <c r="D59" s="48" t="s">
        <v>273</v>
      </c>
      <c r="E59" s="48" t="s">
        <v>274</v>
      </c>
      <c r="F59" s="55" t="s">
        <v>330</v>
      </c>
      <c r="G59" s="17" t="s">
        <v>328</v>
      </c>
      <c r="H59" s="72">
        <v>46039</v>
      </c>
      <c r="I59" s="24"/>
    </row>
    <row r="60" spans="1:9" x14ac:dyDescent="0.3">
      <c r="A60" s="47" t="s">
        <v>233</v>
      </c>
      <c r="B60" s="47" t="s">
        <v>26</v>
      </c>
      <c r="C60" s="47" t="s">
        <v>276</v>
      </c>
      <c r="D60" s="48" t="s">
        <v>121</v>
      </c>
      <c r="E60" s="48" t="s">
        <v>277</v>
      </c>
      <c r="F60" s="55" t="s">
        <v>330</v>
      </c>
      <c r="G60" s="17" t="s">
        <v>328</v>
      </c>
      <c r="H60" s="72">
        <v>46039</v>
      </c>
      <c r="I60" s="24"/>
    </row>
    <row r="61" spans="1:9" x14ac:dyDescent="0.3">
      <c r="A61" s="47" t="s">
        <v>237</v>
      </c>
      <c r="B61" s="47" t="s">
        <v>26</v>
      </c>
      <c r="C61" s="47" t="s">
        <v>279</v>
      </c>
      <c r="D61" s="48" t="s">
        <v>125</v>
      </c>
      <c r="E61" s="48" t="s">
        <v>280</v>
      </c>
      <c r="F61" s="55" t="s">
        <v>330</v>
      </c>
      <c r="G61" s="17" t="s">
        <v>328</v>
      </c>
      <c r="H61" s="72">
        <v>46039</v>
      </c>
      <c r="I61" s="24"/>
    </row>
    <row r="62" spans="1:9" x14ac:dyDescent="0.3">
      <c r="A62" s="47" t="s">
        <v>241</v>
      </c>
      <c r="B62" s="47" t="s">
        <v>26</v>
      </c>
      <c r="C62" s="47" t="s">
        <v>282</v>
      </c>
      <c r="D62" s="48" t="s">
        <v>129</v>
      </c>
      <c r="E62" s="48" t="s">
        <v>283</v>
      </c>
      <c r="F62" s="55" t="s">
        <v>330</v>
      </c>
      <c r="G62" s="17" t="s">
        <v>328</v>
      </c>
      <c r="H62" s="72">
        <v>46039</v>
      </c>
      <c r="I62" s="24"/>
    </row>
    <row r="63" spans="1:9" x14ac:dyDescent="0.3">
      <c r="A63" s="49" t="s">
        <v>245</v>
      </c>
      <c r="B63" s="49" t="s">
        <v>27</v>
      </c>
      <c r="C63" s="49" t="s">
        <v>284</v>
      </c>
      <c r="D63" s="50" t="s">
        <v>285</v>
      </c>
      <c r="E63" s="50" t="s">
        <v>286</v>
      </c>
      <c r="F63" s="55" t="s">
        <v>330</v>
      </c>
      <c r="G63" s="17" t="s">
        <v>328</v>
      </c>
      <c r="H63" s="72">
        <v>46039</v>
      </c>
      <c r="I63" s="24"/>
    </row>
    <row r="64" spans="1:9" x14ac:dyDescent="0.3">
      <c r="A64" s="49" t="s">
        <v>249</v>
      </c>
      <c r="B64" s="49" t="s">
        <v>27</v>
      </c>
      <c r="C64" s="49" t="s">
        <v>287</v>
      </c>
      <c r="D64" s="50" t="s">
        <v>288</v>
      </c>
      <c r="E64" s="50" t="s">
        <v>289</v>
      </c>
      <c r="F64" s="53" t="s">
        <v>331</v>
      </c>
      <c r="G64" s="17" t="s">
        <v>328</v>
      </c>
      <c r="H64" s="72" t="s">
        <v>356</v>
      </c>
      <c r="I64" s="54" t="s">
        <v>349</v>
      </c>
    </row>
    <row r="65" spans="1:9" x14ac:dyDescent="0.3">
      <c r="A65" s="49" t="s">
        <v>251</v>
      </c>
      <c r="B65" s="49" t="s">
        <v>27</v>
      </c>
      <c r="C65" s="49" t="s">
        <v>290</v>
      </c>
      <c r="D65" s="50" t="s">
        <v>291</v>
      </c>
      <c r="E65" s="50" t="s">
        <v>292</v>
      </c>
      <c r="F65" s="55" t="s">
        <v>330</v>
      </c>
      <c r="G65" s="17" t="s">
        <v>328</v>
      </c>
      <c r="H65" s="72">
        <v>46039</v>
      </c>
      <c r="I65" s="24"/>
    </row>
    <row r="66" spans="1:9" ht="28.8" x14ac:dyDescent="0.3">
      <c r="A66" s="49" t="s">
        <v>254</v>
      </c>
      <c r="B66" s="49" t="s">
        <v>27</v>
      </c>
      <c r="C66" s="49" t="s">
        <v>293</v>
      </c>
      <c r="D66" s="50" t="s">
        <v>294</v>
      </c>
      <c r="E66" s="50" t="s">
        <v>350</v>
      </c>
      <c r="F66" s="55" t="s">
        <v>330</v>
      </c>
      <c r="G66" s="17" t="s">
        <v>328</v>
      </c>
      <c r="H66" s="72">
        <v>46039</v>
      </c>
      <c r="I66" s="24"/>
    </row>
    <row r="67" spans="1:9" x14ac:dyDescent="0.3">
      <c r="A67" s="51" t="s">
        <v>258</v>
      </c>
      <c r="B67" s="51" t="s">
        <v>28</v>
      </c>
      <c r="C67" s="51" t="s">
        <v>295</v>
      </c>
      <c r="D67" s="52" t="s">
        <v>296</v>
      </c>
      <c r="E67" s="52" t="s">
        <v>297</v>
      </c>
      <c r="F67" s="55" t="s">
        <v>330</v>
      </c>
      <c r="G67" s="17" t="s">
        <v>328</v>
      </c>
      <c r="H67" s="72" t="s">
        <v>356</v>
      </c>
      <c r="I67" s="54" t="s">
        <v>351</v>
      </c>
    </row>
    <row r="68" spans="1:9" x14ac:dyDescent="0.3">
      <c r="A68" s="51" t="s">
        <v>259</v>
      </c>
      <c r="B68" s="51" t="s">
        <v>28</v>
      </c>
      <c r="C68" s="51" t="s">
        <v>298</v>
      </c>
      <c r="D68" s="52" t="s">
        <v>296</v>
      </c>
      <c r="E68" s="52" t="s">
        <v>297</v>
      </c>
      <c r="F68" s="55" t="s">
        <v>330</v>
      </c>
      <c r="G68" s="17" t="s">
        <v>328</v>
      </c>
      <c r="H68" s="72" t="s">
        <v>356</v>
      </c>
      <c r="I68" s="54" t="s">
        <v>351</v>
      </c>
    </row>
    <row r="69" spans="1:9" x14ac:dyDescent="0.3">
      <c r="A69" s="51" t="s">
        <v>263</v>
      </c>
      <c r="B69" s="51" t="s">
        <v>28</v>
      </c>
      <c r="C69" s="51" t="s">
        <v>299</v>
      </c>
      <c r="D69" s="52" t="s">
        <v>296</v>
      </c>
      <c r="E69" s="52" t="s">
        <v>297</v>
      </c>
      <c r="F69" s="55" t="s">
        <v>330</v>
      </c>
      <c r="G69" s="17" t="s">
        <v>328</v>
      </c>
      <c r="H69" s="72" t="s">
        <v>356</v>
      </c>
      <c r="I69" s="54" t="s">
        <v>351</v>
      </c>
    </row>
    <row r="70" spans="1:9" x14ac:dyDescent="0.3">
      <c r="A70" s="51" t="s">
        <v>266</v>
      </c>
      <c r="B70" s="51" t="s">
        <v>28</v>
      </c>
      <c r="C70" s="51" t="s">
        <v>300</v>
      </c>
      <c r="D70" s="52" t="s">
        <v>296</v>
      </c>
      <c r="E70" s="52" t="s">
        <v>297</v>
      </c>
      <c r="F70" s="55" t="s">
        <v>330</v>
      </c>
      <c r="G70" s="17" t="s">
        <v>328</v>
      </c>
      <c r="H70" s="72" t="s">
        <v>356</v>
      </c>
      <c r="I70" s="54" t="s">
        <v>351</v>
      </c>
    </row>
    <row r="71" spans="1:9" x14ac:dyDescent="0.3">
      <c r="A71" s="51" t="s">
        <v>270</v>
      </c>
      <c r="B71" s="51" t="s">
        <v>28</v>
      </c>
      <c r="C71" s="51" t="s">
        <v>301</v>
      </c>
      <c r="D71" s="52" t="s">
        <v>296</v>
      </c>
      <c r="E71" s="52" t="s">
        <v>297</v>
      </c>
      <c r="F71" s="55" t="s">
        <v>330</v>
      </c>
      <c r="G71" s="17" t="s">
        <v>328</v>
      </c>
      <c r="H71" s="72" t="s">
        <v>356</v>
      </c>
      <c r="I71" s="54" t="s">
        <v>351</v>
      </c>
    </row>
    <row r="72" spans="1:9" x14ac:dyDescent="0.3">
      <c r="A72" s="51" t="s">
        <v>271</v>
      </c>
      <c r="B72" s="51" t="s">
        <v>28</v>
      </c>
      <c r="C72" s="51" t="s">
        <v>302</v>
      </c>
      <c r="D72" s="52" t="s">
        <v>303</v>
      </c>
      <c r="E72" s="52" t="s">
        <v>297</v>
      </c>
      <c r="F72" s="55" t="s">
        <v>330</v>
      </c>
      <c r="G72" s="17" t="s">
        <v>328</v>
      </c>
      <c r="H72" s="72" t="s">
        <v>356</v>
      </c>
      <c r="I72" s="54" t="s">
        <v>351</v>
      </c>
    </row>
  </sheetData>
  <autoFilter ref="A1:I72" xr:uid="{00000000-0009-0000-0000-000001000000}"/>
  <phoneticPr fontId="11" type="noConversion"/>
  <dataValidations count="1">
    <dataValidation type="list" allowBlank="1" errorTitle="Invalid" error="Select from list" sqref="F2:F72" xr:uid="{00000000-0002-0000-0100-000000000000}">
      <formula1>"PASS,FAIL,SKIP,N/A"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zoomScale="115" zoomScaleNormal="115" workbookViewId="0">
      <pane ySplit="4" topLeftCell="A5" activePane="bottomLeft" state="frozen"/>
      <selection pane="bottomLeft" activeCell="G6" sqref="G6"/>
    </sheetView>
  </sheetViews>
  <sheetFormatPr defaultRowHeight="14.4" x14ac:dyDescent="0.3"/>
  <cols>
    <col min="1" max="1" width="13.77734375" customWidth="1"/>
    <col min="2" max="2" width="35.33203125" style="19" customWidth="1"/>
    <col min="3" max="3" width="80" style="10" customWidth="1"/>
    <col min="4" max="4" width="50" customWidth="1"/>
    <col min="5" max="5" width="12.33203125" customWidth="1"/>
  </cols>
  <sheetData>
    <row r="1" spans="1:5" ht="18" x14ac:dyDescent="0.35">
      <c r="A1" s="1" t="s">
        <v>304</v>
      </c>
    </row>
    <row r="2" spans="1:5" x14ac:dyDescent="0.3">
      <c r="A2" s="2" t="s">
        <v>305</v>
      </c>
    </row>
    <row r="4" spans="1:5" x14ac:dyDescent="0.3">
      <c r="A4" s="5" t="s">
        <v>35</v>
      </c>
      <c r="B4" s="20" t="s">
        <v>36</v>
      </c>
      <c r="C4" s="5" t="s">
        <v>306</v>
      </c>
      <c r="D4" s="5" t="s">
        <v>38</v>
      </c>
      <c r="E4" s="5" t="s">
        <v>307</v>
      </c>
    </row>
    <row r="5" spans="1:5" ht="49.95" customHeight="1" x14ac:dyDescent="0.3">
      <c r="A5" s="60" t="s">
        <v>74</v>
      </c>
      <c r="B5" s="61" t="s">
        <v>79</v>
      </c>
      <c r="C5" s="62" t="s">
        <v>335</v>
      </c>
      <c r="D5" s="63" t="s">
        <v>333</v>
      </c>
      <c r="E5" s="21" t="b">
        <v>1</v>
      </c>
    </row>
    <row r="6" spans="1:5" ht="49.95" customHeight="1" x14ac:dyDescent="0.3">
      <c r="A6" s="60" t="s">
        <v>78</v>
      </c>
      <c r="B6" s="61" t="s">
        <v>82</v>
      </c>
      <c r="C6" s="62" t="s">
        <v>308</v>
      </c>
      <c r="D6" s="63" t="s">
        <v>84</v>
      </c>
      <c r="E6" s="21" t="b">
        <v>1</v>
      </c>
    </row>
    <row r="7" spans="1:5" ht="49.95" customHeight="1" x14ac:dyDescent="0.3">
      <c r="A7" s="60" t="s">
        <v>81</v>
      </c>
      <c r="B7" s="61" t="s">
        <v>87</v>
      </c>
      <c r="C7" s="62" t="s">
        <v>309</v>
      </c>
      <c r="D7" s="63" t="s">
        <v>89</v>
      </c>
      <c r="E7" s="21" t="b">
        <v>1</v>
      </c>
    </row>
    <row r="8" spans="1:5" ht="86.4" customHeight="1" x14ac:dyDescent="0.3">
      <c r="A8" s="64" t="s">
        <v>96</v>
      </c>
      <c r="B8" s="65" t="s">
        <v>108</v>
      </c>
      <c r="C8" s="62" t="s">
        <v>337</v>
      </c>
      <c r="D8" s="66" t="s">
        <v>110</v>
      </c>
      <c r="E8" s="21" t="b">
        <v>1</v>
      </c>
    </row>
    <row r="9" spans="1:5" ht="85.2" customHeight="1" x14ac:dyDescent="0.3">
      <c r="A9" s="67" t="s">
        <v>353</v>
      </c>
      <c r="B9" s="68" t="s">
        <v>116</v>
      </c>
      <c r="C9" s="62" t="s">
        <v>310</v>
      </c>
      <c r="D9" s="66" t="s">
        <v>118</v>
      </c>
      <c r="E9" s="21" t="b">
        <v>1</v>
      </c>
    </row>
    <row r="10" spans="1:5" ht="94.2" customHeight="1" x14ac:dyDescent="0.3">
      <c r="A10" s="67" t="s">
        <v>103</v>
      </c>
      <c r="B10" s="68" t="s">
        <v>120</v>
      </c>
      <c r="C10" s="62" t="s">
        <v>311</v>
      </c>
      <c r="D10" s="66" t="s">
        <v>122</v>
      </c>
      <c r="E10" s="21" t="b">
        <v>1</v>
      </c>
    </row>
    <row r="11" spans="1:5" ht="75.599999999999994" customHeight="1" x14ac:dyDescent="0.3">
      <c r="A11" s="67" t="s">
        <v>107</v>
      </c>
      <c r="B11" s="68" t="s">
        <v>124</v>
      </c>
      <c r="C11" s="62" t="s">
        <v>338</v>
      </c>
      <c r="D11" s="66" t="s">
        <v>126</v>
      </c>
      <c r="E11" s="21" t="b">
        <v>1</v>
      </c>
    </row>
    <row r="12" spans="1:5" ht="64.8" customHeight="1" x14ac:dyDescent="0.3">
      <c r="A12" s="67" t="s">
        <v>115</v>
      </c>
      <c r="B12" s="68" t="s">
        <v>132</v>
      </c>
      <c r="C12" s="62" t="s">
        <v>312</v>
      </c>
      <c r="D12" s="66" t="s">
        <v>134</v>
      </c>
      <c r="E12" s="21" t="b">
        <v>1</v>
      </c>
    </row>
    <row r="13" spans="1:5" s="10" customFormat="1" ht="73.8" customHeight="1" x14ac:dyDescent="0.3">
      <c r="A13" s="67" t="s">
        <v>119</v>
      </c>
      <c r="B13" s="68" t="s">
        <v>136</v>
      </c>
      <c r="C13" s="62" t="s">
        <v>313</v>
      </c>
      <c r="D13" s="66" t="s">
        <v>138</v>
      </c>
      <c r="E13" s="21" t="b">
        <v>1</v>
      </c>
    </row>
    <row r="14" spans="1:5" ht="46.2" customHeight="1" x14ac:dyDescent="0.3">
      <c r="A14" s="67" t="s">
        <v>123</v>
      </c>
      <c r="B14" s="68" t="s">
        <v>140</v>
      </c>
      <c r="C14" s="62" t="s">
        <v>314</v>
      </c>
      <c r="D14" s="63" t="s">
        <v>142</v>
      </c>
      <c r="E14" s="21" t="b">
        <v>1</v>
      </c>
    </row>
    <row r="15" spans="1:5" ht="89.4" customHeight="1" x14ac:dyDescent="0.3">
      <c r="A15" s="67" t="s">
        <v>127</v>
      </c>
      <c r="B15" s="68" t="s">
        <v>144</v>
      </c>
      <c r="C15" s="62" t="s">
        <v>315</v>
      </c>
      <c r="D15" s="66" t="s">
        <v>146</v>
      </c>
      <c r="E15" s="21" t="b">
        <v>1</v>
      </c>
    </row>
    <row r="16" spans="1:5" ht="75" customHeight="1" x14ac:dyDescent="0.3">
      <c r="A16" s="67" t="s">
        <v>147</v>
      </c>
      <c r="B16" s="68" t="s">
        <v>148</v>
      </c>
      <c r="C16" s="62" t="s">
        <v>341</v>
      </c>
      <c r="D16" s="66" t="s">
        <v>342</v>
      </c>
      <c r="E16" s="21" t="b">
        <v>1</v>
      </c>
    </row>
    <row r="17" spans="1:5" ht="49.95" customHeight="1" x14ac:dyDescent="0.3">
      <c r="A17" s="67" t="s">
        <v>151</v>
      </c>
      <c r="B17" s="68" t="s">
        <v>152</v>
      </c>
      <c r="C17" s="62" t="s">
        <v>343</v>
      </c>
      <c r="D17" s="63" t="s">
        <v>344</v>
      </c>
      <c r="E17" s="21" t="b">
        <v>1</v>
      </c>
    </row>
    <row r="18" spans="1:5" ht="70.8" customHeight="1" x14ac:dyDescent="0.3">
      <c r="A18" s="67" t="s">
        <v>155</v>
      </c>
      <c r="B18" s="68" t="s">
        <v>156</v>
      </c>
      <c r="C18" s="62" t="s">
        <v>316</v>
      </c>
      <c r="D18" s="66" t="s">
        <v>158</v>
      </c>
      <c r="E18" s="21" t="b">
        <v>1</v>
      </c>
    </row>
    <row r="19" spans="1:5" ht="79.8" customHeight="1" x14ac:dyDescent="0.3">
      <c r="A19" s="67" t="s">
        <v>159</v>
      </c>
      <c r="B19" s="68" t="s">
        <v>160</v>
      </c>
      <c r="C19" s="62" t="s">
        <v>317</v>
      </c>
      <c r="D19" s="66" t="s">
        <v>162</v>
      </c>
      <c r="E19" s="21" t="b">
        <v>1</v>
      </c>
    </row>
    <row r="20" spans="1:5" ht="49.95" customHeight="1" x14ac:dyDescent="0.3">
      <c r="A20" s="67" t="s">
        <v>167</v>
      </c>
      <c r="B20" s="68" t="s">
        <v>168</v>
      </c>
      <c r="C20" s="62" t="s">
        <v>345</v>
      </c>
      <c r="D20" s="66" t="s">
        <v>170</v>
      </c>
      <c r="E20" s="21" t="b">
        <v>1</v>
      </c>
    </row>
    <row r="21" spans="1:5" ht="118.2" customHeight="1" x14ac:dyDescent="0.3">
      <c r="A21" s="67" t="s">
        <v>175</v>
      </c>
      <c r="B21" s="68" t="s">
        <v>172</v>
      </c>
      <c r="C21" s="62" t="s">
        <v>346</v>
      </c>
      <c r="D21" s="66" t="s">
        <v>174</v>
      </c>
      <c r="E21" s="21" t="b">
        <v>1</v>
      </c>
    </row>
    <row r="22" spans="1:5" ht="87.6" customHeight="1" x14ac:dyDescent="0.3">
      <c r="A22" s="67" t="s">
        <v>207</v>
      </c>
      <c r="B22" s="68" t="s">
        <v>208</v>
      </c>
      <c r="C22" s="62" t="s">
        <v>318</v>
      </c>
      <c r="D22" s="66" t="s">
        <v>210</v>
      </c>
      <c r="E22" s="21" t="b">
        <v>1</v>
      </c>
    </row>
    <row r="23" spans="1:5" ht="70.2" customHeight="1" x14ac:dyDescent="0.3">
      <c r="A23" s="67" t="s">
        <v>215</v>
      </c>
      <c r="B23" s="68" t="s">
        <v>216</v>
      </c>
      <c r="C23" s="62" t="s">
        <v>319</v>
      </c>
      <c r="D23" s="66" t="s">
        <v>218</v>
      </c>
      <c r="E23" s="21" t="b">
        <v>1</v>
      </c>
    </row>
    <row r="24" spans="1:5" ht="58.2" customHeight="1" x14ac:dyDescent="0.3">
      <c r="A24" s="67" t="s">
        <v>254</v>
      </c>
      <c r="B24" s="68" t="s">
        <v>255</v>
      </c>
      <c r="C24" s="62" t="s">
        <v>320</v>
      </c>
      <c r="D24" s="66" t="s">
        <v>257</v>
      </c>
      <c r="E24" s="21" t="b">
        <v>1</v>
      </c>
    </row>
    <row r="25" spans="1:5" ht="57.6" customHeight="1" x14ac:dyDescent="0.3">
      <c r="A25" s="67" t="s">
        <v>263</v>
      </c>
      <c r="B25" s="68" t="s">
        <v>264</v>
      </c>
      <c r="C25" s="62" t="s">
        <v>321</v>
      </c>
      <c r="D25" s="63" t="s">
        <v>265</v>
      </c>
      <c r="E25" s="21" t="b">
        <v>1</v>
      </c>
    </row>
    <row r="26" spans="1:5" ht="49.95" customHeight="1" x14ac:dyDescent="0.3">
      <c r="A26" s="67" t="s">
        <v>266</v>
      </c>
      <c r="B26" s="68" t="s">
        <v>267</v>
      </c>
      <c r="C26" s="62" t="s">
        <v>322</v>
      </c>
      <c r="D26" s="66" t="s">
        <v>269</v>
      </c>
      <c r="E26" s="21" t="b">
        <v>1</v>
      </c>
    </row>
    <row r="27" spans="1:5" ht="80.400000000000006" customHeight="1" x14ac:dyDescent="0.3">
      <c r="A27" s="67" t="s">
        <v>271</v>
      </c>
      <c r="B27" s="68" t="s">
        <v>272</v>
      </c>
      <c r="C27" s="62" t="s">
        <v>323</v>
      </c>
      <c r="D27" s="66" t="s">
        <v>274</v>
      </c>
      <c r="E27" s="21" t="b">
        <v>1</v>
      </c>
    </row>
    <row r="28" spans="1:5" ht="81.599999999999994" customHeight="1" x14ac:dyDescent="0.3">
      <c r="A28" s="67" t="s">
        <v>275</v>
      </c>
      <c r="B28" s="68" t="s">
        <v>276</v>
      </c>
      <c r="C28" s="62" t="s">
        <v>324</v>
      </c>
      <c r="D28" s="66" t="s">
        <v>277</v>
      </c>
      <c r="E28" s="21" t="b">
        <v>1</v>
      </c>
    </row>
    <row r="29" spans="1:5" ht="49.95" customHeight="1" x14ac:dyDescent="0.3">
      <c r="A29" s="67" t="s">
        <v>278</v>
      </c>
      <c r="B29" s="68" t="s">
        <v>279</v>
      </c>
      <c r="C29" s="62" t="s">
        <v>325</v>
      </c>
      <c r="D29" s="63" t="s">
        <v>280</v>
      </c>
      <c r="E29" s="21" t="b">
        <v>1</v>
      </c>
    </row>
    <row r="30" spans="1:5" ht="75.599999999999994" customHeight="1" x14ac:dyDescent="0.3">
      <c r="A30" s="67" t="s">
        <v>281</v>
      </c>
      <c r="B30" s="68" t="s">
        <v>282</v>
      </c>
      <c r="C30" s="62" t="s">
        <v>347</v>
      </c>
      <c r="D30" s="66" t="s">
        <v>283</v>
      </c>
      <c r="E30" s="21" t="b">
        <v>1</v>
      </c>
    </row>
  </sheetData>
  <phoneticPr fontId="1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UAT TestCase</vt:lpstr>
      <vt:lpstr>DB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Deachawat Subkong</cp:lastModifiedBy>
  <dcterms:created xsi:type="dcterms:W3CDTF">2026-01-15T07:33:34Z</dcterms:created>
  <dcterms:modified xsi:type="dcterms:W3CDTF">2026-01-17T09:00:07Z</dcterms:modified>
</cp:coreProperties>
</file>